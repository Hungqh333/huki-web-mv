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ra2\Desktop\"/>
    </mc:Choice>
  </mc:AlternateContent>
  <xr:revisionPtr revIDLastSave="0" documentId="13_ncr:1_{D528CC8B-2B82-49EE-AEC0-E5256017C2E1}" xr6:coauthVersionLast="47" xr6:coauthVersionMax="47" xr10:uidLastSave="{00000000-0000-0000-0000-000000000000}"/>
  <bookViews>
    <workbookView xWindow="390" yWindow="390" windowWidth="18660" windowHeight="16965" tabRatio="621" firstSheet="1" activeTab="1" xr2:uid="{00000000-000D-0000-FFFF-FFFF00000000}"/>
  </bookViews>
  <sheets>
    <sheet name="Align - Imalligent" sheetId="53" state="hidden" r:id="rId1"/>
    <sheet name="Partlist Vision" sheetId="56" r:id="rId2"/>
    <sheet name="Measure - Imalligent" sheetId="54" state="hidden" r:id="rId3"/>
    <sheet name="Measure - OPT" sheetId="55" state="hidden" r:id="rId4"/>
  </sheets>
  <definedNames>
    <definedName name="__GN5">#REF!</definedName>
    <definedName name="__h1" hidden="1">{"'TDTGT (theo Dphuong)'!$A$4:$F$75"}</definedName>
    <definedName name="__h2" hidden="1">{"'TDTGT (theo Dphuong)'!$A$4:$F$75"}</definedName>
    <definedName name="__m1">[0]!__m1</definedName>
    <definedName name="_xlnm._FilterDatabase" localSheetId="1" hidden="1">'Partlist Vision'!$A$6:$H$23</definedName>
    <definedName name="_GN5">#REF!</definedName>
    <definedName name="_h1" hidden="1">{"'TDTGT (theo Dphuong)'!$A$4:$F$75"}</definedName>
    <definedName name="_h2" hidden="1">{"'TDTGT (theo Dphuong)'!$A$4:$F$75"}</definedName>
    <definedName name="_m1">[0]!_m1</definedName>
    <definedName name="_xlnm.Print_Area" localSheetId="0">'Align - Imalligent'!$A$1:$H$27</definedName>
    <definedName name="_xlnm.Print_Area">#N/A</definedName>
    <definedName name="_xlnm.Print_Titles">#N/A</definedName>
  </definedNames>
  <calcPr calcId="181029"/>
</workbook>
</file>

<file path=xl/calcChain.xml><?xml version="1.0" encoding="utf-8"?>
<calcChain xmlns="http://schemas.openxmlformats.org/spreadsheetml/2006/main">
  <c r="J18" i="53" l="1"/>
  <c r="J19" i="53"/>
  <c r="J17" i="53"/>
  <c r="J27" i="53" l="1"/>
  <c r="J31" i="54" l="1"/>
  <c r="J30" i="55"/>
</calcChain>
</file>

<file path=xl/sharedStrings.xml><?xml version="1.0" encoding="utf-8"?>
<sst xmlns="http://schemas.openxmlformats.org/spreadsheetml/2006/main" count="301" uniqueCount="124">
  <si>
    <t>pcs</t>
  </si>
  <si>
    <t>I</t>
  </si>
  <si>
    <t>II</t>
  </si>
  <si>
    <t>III</t>
  </si>
  <si>
    <t>IV</t>
  </si>
  <si>
    <t>Maker</t>
  </si>
  <si>
    <t>ĐỀ NGHỊ XUẤT VẬT TƯ</t>
  </si>
  <si>
    <t>Kí hiệu:
Ngày hiệu lực:
Lần ban hành:</t>
  </si>
  <si>
    <t>BM.KT.04.05
24/10/2015
03</t>
  </si>
  <si>
    <t xml:space="preserve">Ngày:     </t>
  </si>
  <si>
    <t xml:space="preserve">Ngày:  </t>
  </si>
  <si>
    <t>TT</t>
  </si>
  <si>
    <t>Tên vật tư</t>
  </si>
  <si>
    <t>Mã thiết bị</t>
  </si>
  <si>
    <t>Thông số kĩ thuật</t>
  </si>
  <si>
    <t>Số lượng 
1 PCS</t>
  </si>
  <si>
    <t xml:space="preserve">Số lượng  tổng </t>
  </si>
  <si>
    <t>Đơn vị</t>
  </si>
  <si>
    <t xml:space="preserve">  Người lập lập thành 2 bản và gửi cho các bộ phận sau:
1.Sản xuất                                                                                                2.  Kế toán </t>
  </si>
  <si>
    <t>OMRON</t>
  </si>
  <si>
    <t>IDEC</t>
  </si>
  <si>
    <t>MITSUBISHI</t>
  </si>
  <si>
    <t>Số lượng:
1</t>
  </si>
  <si>
    <t>Đỗ Viết Điệp</t>
  </si>
  <si>
    <t>Nguyễn Văn Hùng</t>
  </si>
  <si>
    <t>Đào Trọng Tài</t>
  </si>
  <si>
    <t>PC</t>
  </si>
  <si>
    <r>
      <t xml:space="preserve">Người lập:
</t>
    </r>
    <r>
      <rPr>
        <sz val="14"/>
        <color indexed="8"/>
        <rFont val="Times New Roman"/>
        <family val="1"/>
      </rPr>
      <t>(Ký và ghi rõ họ tên)</t>
    </r>
  </si>
  <si>
    <r>
      <t xml:space="preserve">Kiểm tra:
</t>
    </r>
    <r>
      <rPr>
        <i/>
        <sz val="14"/>
        <color indexed="8"/>
        <rFont val="Times New Roman"/>
        <family val="1"/>
      </rPr>
      <t>(Ký và ghi rõ họ tên)</t>
    </r>
  </si>
  <si>
    <r>
      <t xml:space="preserve">Phê duyệt:
</t>
    </r>
    <r>
      <rPr>
        <i/>
        <sz val="14"/>
        <color indexed="8"/>
        <rFont val="Times New Roman"/>
        <family val="1"/>
      </rPr>
      <t>(Ký và ghi rõ họ tên)</t>
    </r>
  </si>
  <si>
    <t>Ngày: 21/05/2025</t>
  </si>
  <si>
    <t>VISION</t>
  </si>
  <si>
    <t>Camera 3D</t>
  </si>
  <si>
    <t>Controller 3D</t>
  </si>
  <si>
    <t>Cable</t>
  </si>
  <si>
    <t>Phần mềm xử lý ảnh 3D</t>
  </si>
  <si>
    <t>Màn hình</t>
  </si>
  <si>
    <t>Bàn phím + chuột</t>
  </si>
  <si>
    <t>Dây mạng</t>
  </si>
  <si>
    <t>VR-1300B</t>
  </si>
  <si>
    <t>Bigframe</t>
  </si>
  <si>
    <t>Mvtec</t>
  </si>
  <si>
    <t>Asus</t>
  </si>
  <si>
    <t>Samsung</t>
  </si>
  <si>
    <t>Logitech</t>
  </si>
  <si>
    <t>Ugreen</t>
  </si>
  <si>
    <t>set</t>
  </si>
  <si>
    <t>USB Dongle Halcon included License key Halcon runtime</t>
  </si>
  <si>
    <t>EB ITX B7N</t>
  </si>
  <si>
    <t>LS24C330GAEXV</t>
  </si>
  <si>
    <t>LOGITECH K400 Plus</t>
  </si>
  <si>
    <t>Cáp mạng đúc sẵn Cat6 5m</t>
  </si>
  <si>
    <t>Ethernet card</t>
  </si>
  <si>
    <t>OPT</t>
  </si>
  <si>
    <t xml:space="preserve">Mã dự án : 
Tên dự án: 
Yêu cầu ngày xuất: </t>
  </si>
  <si>
    <t>VRH9-200B</t>
  </si>
  <si>
    <t>CB-GE-M12A8MRJ45-S3M</t>
  </si>
  <si>
    <t>Cable ethernet cam</t>
  </si>
  <si>
    <t>Cable trigger cam</t>
  </si>
  <si>
    <t>CB-M12-A17M010-S3M</t>
  </si>
  <si>
    <t>OPT-LPF2-030</t>
  </si>
  <si>
    <t>rfov 140mm , z repe 5um,x repe 30 um</t>
  </si>
  <si>
    <t>Cable Ethernet</t>
  </si>
  <si>
    <t>Cable IO</t>
  </si>
  <si>
    <t>VR-Power-lo, 5 m</t>
  </si>
  <si>
    <t>VR-Ethernet Cable, 5 m</t>
  </si>
  <si>
    <t>PCIe-GIE74V</t>
  </si>
  <si>
    <t>Adlink</t>
  </si>
  <si>
    <t xml:space="preserve"> LS24D300GAEXXV</t>
  </si>
  <si>
    <t>Tổng</t>
  </si>
  <si>
    <t>Giá dola</t>
  </si>
  <si>
    <t>Monitor 24'</t>
  </si>
  <si>
    <t>Software</t>
  </si>
  <si>
    <t>SoraVision</t>
  </si>
  <si>
    <t>OTHER</t>
  </si>
  <si>
    <t>VISION I</t>
  </si>
  <si>
    <t>Lens</t>
  </si>
  <si>
    <t>Cable light</t>
  </si>
  <si>
    <t>Light controller 1</t>
  </si>
  <si>
    <t>HZ</t>
  </si>
  <si>
    <t>Cognex</t>
  </si>
  <si>
    <t>Cable data cam</t>
  </si>
  <si>
    <t>ALIGN</t>
  </si>
  <si>
    <t>MV-CS200-10GM</t>
  </si>
  <si>
    <t>Hikrobot</t>
  </si>
  <si>
    <t>MVL-KF2524M-25MP</t>
  </si>
  <si>
    <t>VPRO-MAX-WB</t>
  </si>
  <si>
    <t>MV-AC10G-RJ45s-RJ45-HF-10m</t>
  </si>
  <si>
    <t>HZ-EC10M-T</t>
  </si>
  <si>
    <t>HZ-3DPC24120-4S</t>
  </si>
  <si>
    <t>Ugreen 20211</t>
  </si>
  <si>
    <t>Ugreen 10321</t>
  </si>
  <si>
    <t>Camera 20 MP</t>
  </si>
  <si>
    <t>VN</t>
  </si>
  <si>
    <t>Nguyễn Đình Huy</t>
  </si>
  <si>
    <t>Ngày: 04/09/2026</t>
  </si>
  <si>
    <t>Trần Văn Chi</t>
  </si>
  <si>
    <t xml:space="preserve">Mã dự án : TC0626-33-BG1
Tên dự án: Máy gia công đầu mút Sheath V2
Yêu cầu ngày xuất: </t>
  </si>
  <si>
    <t>ĐỀ NGHỊ BÁO GIÁ VẬT TƯ</t>
  </si>
  <si>
    <t>Ring Light</t>
  </si>
  <si>
    <t>HZ-2HRE196-W</t>
  </si>
  <si>
    <t>WD 200 mm, FOV 115x108 mm</t>
  </si>
  <si>
    <t>Camera 20MP, mono</t>
  </si>
  <si>
    <t>Power: 30.9w</t>
  </si>
  <si>
    <t>Cable Power</t>
  </si>
  <si>
    <t xml:space="preserve">PC </t>
  </si>
  <si>
    <t>EBS_4U500</t>
  </si>
  <si>
    <t xml:space="preserve">"Chassis: EBS_4U500
Motherboard: Q670EA-IM-A
CPU: I7-14700
CPU cooler: 65W
Memory: U-DDR5 5600 32GB
SATA Storage: 2TB 3.5”SATA3 7200RPM_Enterprise
M.2 Storage: SSD P4X4(VAL) 512GB M2 2280 NVME (0-70)
PSU: PSU ATX 500W GOLD
Power Cord: Power cord
OS: Win 11 pro 64 bits license" </t>
  </si>
  <si>
    <t>SORA</t>
  </si>
  <si>
    <t xml:space="preserve">Phần mềm xử lý ảnh </t>
  </si>
  <si>
    <t>Key thường</t>
  </si>
  <si>
    <t>GigE Interface Card</t>
  </si>
  <si>
    <t>GE-5G40E</t>
  </si>
  <si>
    <t>Irayple</t>
  </si>
  <si>
    <t>4 channel</t>
  </si>
  <si>
    <t>Keyboard</t>
  </si>
  <si>
    <t>LS24D300GAEXXV</t>
  </si>
  <si>
    <t>Cáp mạng đúc sẵn Cat6 10m</t>
  </si>
  <si>
    <t>Cáp HDMI 10m</t>
  </si>
  <si>
    <t>Ugreen 40414</t>
  </si>
  <si>
    <t>Cáp USB nối dài 10m</t>
  </si>
  <si>
    <t>USB to com (1.5m)</t>
  </si>
  <si>
    <t>MV-ACP-H6p-open-HF-10m</t>
  </si>
  <si>
    <t>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</si>
</sst>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5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£&quot;#,##0;[Red]\-&quot;£&quot;#,##0"/>
    <numFmt numFmtId="165" formatCode="&quot;£&quot;#,##0.00;[Red]\-&quot;£&quot;#,##0.00"/>
    <numFmt numFmtId="166" formatCode="_-&quot;£&quot;* #,##0_-;\-&quot;£&quot;* #,##0_-;_-&quot;£&quot;* &quot;-&quot;_-;_-@_-"/>
    <numFmt numFmtId="167" formatCode="_-* #,##0_-;\-* #,##0_-;_-* &quot;-&quot;_-;_-@_-"/>
    <numFmt numFmtId="168" formatCode="_-&quot;£&quot;* #,##0.00_-;\-&quot;£&quot;* #,##0.00_-;_-&quot;£&quot;* &quot;-&quot;??_-;_-@_-"/>
    <numFmt numFmtId="169" formatCode="_-* #,##0.00_-;\-* #,##0.00_-;_-* &quot;-&quot;??_-;_-@_-"/>
    <numFmt numFmtId="170" formatCode="_(* #,##0_);_(* \(#,##0\);_(* &quot;-&quot;??_);_(@_)"/>
    <numFmt numFmtId="171" formatCode="_-&quot;$&quot;* #,##0_-;\-&quot;$&quot;* #,##0_-;_-&quot;$&quot;* &quot;-&quot;_-;_-@_-"/>
    <numFmt numFmtId="172" formatCode="#,##0.00000"/>
    <numFmt numFmtId="173" formatCode="&quot;\&quot;#,##0.00;[Red]&quot;\&quot;&quot;\&quot;&quot;\&quot;&quot;\&quot;&quot;\&quot;&quot;\&quot;\-#,##0.00"/>
    <numFmt numFmtId="174" formatCode="&quot;\&quot;#,##0;[Red]&quot;\&quot;&quot;\&quot;\-#,##0"/>
    <numFmt numFmtId="175" formatCode="_ * #,##0.00_ ;_ * \-#,##0.00_ ;_ * &quot;-&quot;??_ ;_ @_ "/>
    <numFmt numFmtId="176" formatCode="#,##0\ &quot;€&quot;;[Red]\-#,##0\ &quot;€&quot;"/>
    <numFmt numFmtId="177" formatCode="_-* #,##0\ _F_-;\-* #,##0\ _F_-;_-* &quot;-&quot;\ _F_-;_-@_-"/>
    <numFmt numFmtId="178" formatCode="_-* #,##0.00\ _F_B_-;\-* #,##0.00\ _F_B_-;_-* &quot;-&quot;??\ _F_B_-;_-@_-"/>
    <numFmt numFmtId="179" formatCode="&quot;¥&quot;#,##0.00;[Red]&quot;¥&quot;\-#,##0.00"/>
    <numFmt numFmtId="180" formatCode="0.0000%"/>
    <numFmt numFmtId="181" formatCode="_ * #,##0_ ;_ * \-#,##0_ ;_ * &quot;-&quot;_ ;_ @_ "/>
    <numFmt numFmtId="182" formatCode="_-* #,##0\ _F_B_-;\-* #,##0\ _F_B_-;_-* &quot;-&quot;\ _F_B_-;_-@_-"/>
    <numFmt numFmtId="183" formatCode="_ &quot;\&quot;* #,##0_ ;_ &quot;\&quot;* \-#,##0_ ;_ &quot;\&quot;* &quot;-&quot;_ ;_ @_ "/>
    <numFmt numFmtId="184" formatCode="&quot;$&quot;_#\,##0_);[Red]\(&quot;$&quot;_#\,##0\)"/>
    <numFmt numFmtId="185" formatCode="&quot;SFr.&quot;\ #,##0.00;[Red]&quot;SFr.&quot;\ \-#,##0.00"/>
    <numFmt numFmtId="186" formatCode="&quot;￡&quot;#,##0.00;[Red]\-&quot;￡&quot;#,##0.00"/>
    <numFmt numFmtId="187" formatCode="#,##0.000000"/>
    <numFmt numFmtId="188" formatCode="_ &quot;SFr.&quot;\ * #,##0_ ;_ &quot;SFr.&quot;\ * \-#,##0_ ;_ &quot;SFr.&quot;\ * &quot;-&quot;_ ;_ @_ "/>
    <numFmt numFmtId="189" formatCode="_-&quot;￡&quot;* #,##0.00_-;\-&quot;￡&quot;* #,##0.00_-;_-&quot;￡&quot;* &quot;-&quot;??_-;_-@_-"/>
    <numFmt numFmtId="190" formatCode="_-&quot;￡&quot;* #,##0_-;\-&quot;￡&quot;* #,##0_-;_-&quot;￡&quot;* &quot;-&quot;_-;_-@_-"/>
    <numFmt numFmtId="191" formatCode="&quot;$&quot;\ \ \ \ \ \ \ \ #,##0_);\(&quot;$&quot;\ \ \ #,##0\)"/>
    <numFmt numFmtId="192" formatCode="_-&quot;$&quot;* #,##0.00_-;\-&quot;$&quot;* #,##0.00_-;_-&quot;$&quot;* &quot;-&quot;??_-;_-@_-"/>
    <numFmt numFmtId="193" formatCode="#,##0;\-#,##0;&quot;-&quot;"/>
    <numFmt numFmtId="194" formatCode="_ &quot;\&quot;* #,##0.00_ ;_ &quot;\&quot;* &quot;\&quot;&quot;\&quot;&quot;\&quot;&quot;\&quot;&quot;\&quot;&quot;\&quot;&quot;\&quot;&quot;\&quot;&quot;\&quot;&quot;\&quot;&quot;\&quot;&quot;\&quot;\-#,##0.00_ ;_ &quot;\&quot;* &quot;-&quot;??_ ;_ @_ "/>
    <numFmt numFmtId="195" formatCode="_ * #,##0.00_ ;_ * &quot;\&quot;&quot;\&quot;&quot;\&quot;&quot;\&quot;&quot;\&quot;&quot;\&quot;&quot;\&quot;&quot;\&quot;&quot;\&quot;&quot;\&quot;&quot;\&quot;&quot;\&quot;\-#,##0.00_ ;_ * &quot;-&quot;??_ ;_ @_ "/>
    <numFmt numFmtId="196" formatCode="&quot;\&quot;#,##0;&quot;\&quot;&quot;\&quot;&quot;\&quot;&quot;\&quot;&quot;\&quot;&quot;\&quot;&quot;\&quot;&quot;\&quot;&quot;\&quot;&quot;\&quot;&quot;\&quot;&quot;\&quot;&quot;\&quot;&quot;\&quot;\-#,##0"/>
    <numFmt numFmtId="197" formatCode="&quot;\&quot;#,##0;[Red]&quot;\&quot;&quot;\&quot;&quot;\&quot;&quot;\&quot;&quot;\&quot;&quot;\&quot;&quot;\&quot;&quot;\&quot;&quot;\&quot;&quot;\&quot;&quot;\&quot;&quot;\&quot;&quot;\&quot;&quot;\&quot;\-#,##0"/>
    <numFmt numFmtId="198" formatCode="_ * #,##0_ ;_ * &quot;\&quot;&quot;\&quot;&quot;\&quot;&quot;\&quot;&quot;\&quot;&quot;\&quot;&quot;\&quot;&quot;\&quot;&quot;\&quot;&quot;\&quot;&quot;\&quot;&quot;\&quot;\-#,##0_ ;_ * &quot;-&quot;_ ;_ @_ "/>
    <numFmt numFmtId="199" formatCode="&quot;\&quot;#,##0.00;&quot;\&quot;&quot;\&quot;&quot;\&quot;&quot;\&quot;&quot;\&quot;&quot;\&quot;&quot;\&quot;&quot;\&quot;&quot;\&quot;&quot;\&quot;&quot;\&quot;&quot;\&quot;&quot;\&quot;&quot;\&quot;\-#,##0.00"/>
    <numFmt numFmtId="200" formatCode="_-* #,##0.00\ &quot;F&quot;_-;\-* #,##0.00\ &quot;F&quot;_-;_-* &quot;-&quot;??\ &quot;F&quot;_-;_-@_-"/>
    <numFmt numFmtId="201" formatCode="0.0"/>
    <numFmt numFmtId="202" formatCode="mm/yyyy"/>
    <numFmt numFmtId="203" formatCode="#,##0;\(#,##0\)"/>
    <numFmt numFmtId="204" formatCode="#,##0\ &quot;$&quot;_);[Red]\(#,##0\ &quot;$&quot;\)"/>
    <numFmt numFmtId="205" formatCode="\t0.00%"/>
    <numFmt numFmtId="206" formatCode="\U\S\$#,##0.00;\(\U\S\$#,##0.00\)"/>
    <numFmt numFmtId="207" formatCode="_-* #,##0\ _D_M_-;\-* #,##0\ _D_M_-;_-* &quot;-&quot;\ _D_M_-;_-@_-"/>
    <numFmt numFmtId="208" formatCode="_-* #,##0.00\ _D_M_-;\-* #,##0.00\ _D_M_-;_-* &quot;-&quot;??\ _D_M_-;_-@_-"/>
    <numFmt numFmtId="209" formatCode="\t#\ ??/??"/>
    <numFmt numFmtId="210" formatCode="_-&quot;VND&quot;* #,##0_-;\-&quot;VND&quot;* #,##0_-;_-&quot;VND&quot;* &quot;-&quot;_-;_-@_-"/>
    <numFmt numFmtId="211" formatCode="_(&quot;Rp&quot;* #,##0.00_);_(&quot;Rp&quot;* \(#,##0.00\);_(&quot;Rp&quot;* &quot;-&quot;??_);_(@_)"/>
    <numFmt numFmtId="212" formatCode="#,##0.00\ &quot;FB&quot;;[Red]\-#,##0.00\ &quot;FB&quot;"/>
    <numFmt numFmtId="213" formatCode="_-* #,##0\ _₫_-;\-* #,##0\ _₫_-;_-* &quot;-&quot;\ _₫_-;_-@_-"/>
    <numFmt numFmtId="214" formatCode="#,##0\ &quot;$&quot;;\-#,##0\ &quot;$&quot;"/>
    <numFmt numFmtId="215" formatCode="&quot;$&quot;#,##0;\-&quot;$&quot;#,##0"/>
    <numFmt numFmtId="216" formatCode="_-* #,##0.00\ _₫_-;\-* #,##0.00\ _₫_-;_-* &quot;-&quot;??\ _₫_-;_-@_-"/>
    <numFmt numFmtId="217" formatCode="_([$€-2]* #,##0.00_);_([$€-2]* \(#,##0.00\);_([$€-2]* &quot;-&quot;??_)"/>
    <numFmt numFmtId="218" formatCode="#,##0\ &quot;$&quot;_);\(#,##0\ &quot;$&quot;\)"/>
    <numFmt numFmtId="219" formatCode="d\-mmm\-yy\ h:mm\ AM/PM"/>
    <numFmt numFmtId="220" formatCode="#,###"/>
    <numFmt numFmtId="221" formatCode="#,##0\ &quot;€&quot;_);[Red]\(#,##0\ &quot;€&quot;\)"/>
    <numFmt numFmtId="222" formatCode="#,##0.0;[Red]#,##0.0"/>
    <numFmt numFmtId="223" formatCode="d\.m\.yy"/>
    <numFmt numFmtId="224" formatCode="d\.mmm\.yy"/>
    <numFmt numFmtId="225" formatCode="_ * #,##0_)_£_ ;_ * \(#,##0\)_£_ ;_ * &quot;-&quot;_)_£_ ;_ @_ "/>
    <numFmt numFmtId="226" formatCode="_ &quot;\&quot;* #,##0_ ;_ &quot;\&quot;* &quot;\&quot;&quot;\&quot;&quot;\&quot;&quot;\&quot;&quot;\&quot;&quot;\&quot;&quot;\&quot;&quot;\&quot;&quot;\&quot;&quot;\&quot;&quot;\&quot;&quot;\&quot;&quot;\&quot;&quot;\&quot;\-#,##0_ ;_ &quot;\&quot;* &quot;-&quot;_ ;_ @_ "/>
    <numFmt numFmtId="227" formatCode="_###,###,###"/>
    <numFmt numFmtId="228" formatCode="&quot;US$&quot;#,##0.00_);[Red]\(&quot;US$&quot;#,##0.00\)"/>
    <numFmt numFmtId="229" formatCode="0.00000%"/>
    <numFmt numFmtId="230" formatCode="0.000%"/>
    <numFmt numFmtId="231" formatCode="_(&quot;€&quot;* #,##0.00_);_(&quot;€&quot;* \(#,##0.00\);_(&quot;€&quot;* &quot;-&quot;??_);_(@_)"/>
    <numFmt numFmtId="232" formatCode="&quot;\&quot;#,##0;[Red]\-&quot;\&quot;#,##0"/>
    <numFmt numFmtId="233" formatCode="#,##0.00\ &quot;F&quot;;[Red]\-#,##0.00\ &quot;F&quot;"/>
    <numFmt numFmtId="234" formatCode="_-* #,##0.00\ &quot;€&quot;_-;\-* #,##0.00\ &quot;€&quot;_-;_-* &quot;-&quot;??\ &quot;€&quot;_-;_-@_-"/>
    <numFmt numFmtId="235" formatCode="#,##0.00\ \ "/>
    <numFmt numFmtId="236" formatCode="0.00000"/>
    <numFmt numFmtId="237" formatCode="&quot;$&quot;#,##0;[Red]\-&quot;$&quot;#,##0"/>
    <numFmt numFmtId="238" formatCode="&quot;\&quot;#,##0.00;[Red]&quot;\&quot;&quot;\&quot;&quot;\&quot;&quot;\&quot;&quot;\&quot;&quot;\&quot;&quot;\&quot;&quot;\&quot;&quot;\&quot;&quot;\&quot;&quot;\&quot;&quot;\&quot;&quot;\&quot;&quot;\&quot;\-#,##0.00"/>
    <numFmt numFmtId="239" formatCode="_ &quot;\&quot;* #,##0_ ;_ &quot;\&quot;* &quot;\&quot;&quot;\&quot;&quot;\&quot;&quot;\&quot;&quot;\&quot;&quot;\&quot;&quot;\&quot;&quot;\&quot;&quot;\&quot;&quot;\&quot;&quot;\&quot;&quot;\&quot;&quot;\&quot;\-#,##0_ ;_ &quot;\&quot;* &quot;-&quot;_ ;_ @_ "/>
    <numFmt numFmtId="240" formatCode="&quot;€&quot;#,##0.00_);[Red]\(&quot;€&quot;#,##0.00\)"/>
    <numFmt numFmtId="241" formatCode="0,000.0"/>
    <numFmt numFmtId="242" formatCode="_(&quot;€&quot;* #,##0_);_(&quot;€&quot;* \(#,##0\);_(&quot;€&quot;* &quot;-&quot;_);_(@_)"/>
    <numFmt numFmtId="243" formatCode="_-* #,##0\ &quot;DM&quot;_-;\-* #,##0\ &quot;DM&quot;_-;_-* &quot;-&quot;\ &quot;DM&quot;_-;_-@_-"/>
    <numFmt numFmtId="244" formatCode="_-* #,##0.00\ &quot;DM&quot;_-;\-* #,##0.00\ &quot;DM&quot;_-;_-* &quot;-&quot;??\ &quot;DM&quot;_-;_-@_-"/>
    <numFmt numFmtId="245" formatCode="_-&quot;｣&quot;* #,##0_-;\-&quot;｣&quot;* #,##0_-;_-&quot;｣&quot;* &quot;-&quot;_-;_-@_-"/>
    <numFmt numFmtId="246" formatCode="_-&quot;｣&quot;* #,##0.00_-;\-&quot;｣&quot;* #,##0.00_-;_-&quot;｣&quot;* &quot;-&quot;??_-;_-@_-"/>
    <numFmt numFmtId="247" formatCode="&quot;$&quot;_#*,##0_);[Red]\(&quot;$&quot;_#*,##0\)"/>
    <numFmt numFmtId="248" formatCode="&quot;｣&quot;#,##0.00;[Red]\-&quot;｣&quot;#,##0.00"/>
    <numFmt numFmtId="249" formatCode="&quot;¥&quot;#,##0;&quot;¥&quot;\-#,##0"/>
    <numFmt numFmtId="250" formatCode="00.000"/>
    <numFmt numFmtId="251" formatCode="_-[$$-1009]* #,##0.00_-;\-[$$-1009]* #,##0.00_-;_-[$$-1009]* &quot;-&quot;??_-;_-@_-"/>
  </numFmts>
  <fonts count="164">
    <font>
      <sz val="10"/>
      <name val="Arial"/>
    </font>
    <font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.VnTime"/>
      <family val="2"/>
    </font>
    <font>
      <sz val="12"/>
      <name val="VNI-Times"/>
    </font>
    <font>
      <sz val="10"/>
      <name val=".VnTime"/>
      <family val="2"/>
    </font>
    <font>
      <sz val="12"/>
      <name val="Helv"/>
      <family val="2"/>
    </font>
    <font>
      <sz val="10"/>
      <name val="MS Sans Serif"/>
      <family val="2"/>
    </font>
    <font>
      <sz val="12"/>
      <name val="VNtimes new roman"/>
      <family val="2"/>
    </font>
    <font>
      <sz val="10"/>
      <name val="?? ??"/>
      <family val="1"/>
      <charset val="136"/>
    </font>
    <font>
      <sz val="10"/>
      <name val=".VnArial"/>
      <family val="2"/>
    </font>
    <font>
      <sz val="14"/>
      <name val="?? ??"/>
      <family val="3"/>
      <charset val="128"/>
    </font>
    <font>
      <u/>
      <sz val="7.5"/>
      <color indexed="36"/>
      <name val="VNI-Aptima"/>
    </font>
    <font>
      <u/>
      <sz val="7.5"/>
      <color indexed="12"/>
      <name val="VNI-Aptima"/>
    </font>
    <font>
      <sz val="10"/>
      <name val="Arial Rounded MT Bold"/>
      <family val="1"/>
    </font>
    <font>
      <sz val="14"/>
      <name val="?l?r ???"/>
      <family val="3"/>
      <charset val="128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  <charset val="129"/>
    </font>
    <font>
      <sz val="14"/>
      <name val="?l?r ??·"/>
      <family val="3"/>
      <charset val="128"/>
    </font>
    <font>
      <sz val="14"/>
      <name val="?l?r ??c"/>
      <family val="3"/>
      <charset val="128"/>
    </font>
    <font>
      <sz val="12"/>
      <name val="|??¢¥¢¬¨Ï"/>
      <family val="1"/>
      <charset val="129"/>
    </font>
    <font>
      <sz val="10"/>
      <name val="VNI-Times"/>
    </font>
    <font>
      <sz val="11"/>
      <name val="ＭＳ Ｐゴシック"/>
      <family val="3"/>
      <charset val="128"/>
    </font>
    <font>
      <sz val="12"/>
      <name val="VNI-Helve-Condense"/>
    </font>
    <font>
      <sz val="11"/>
      <name val="Arial"/>
      <family val="2"/>
    </font>
    <font>
      <sz val="10"/>
      <color indexed="8"/>
      <name val="MS Sans Serif"/>
      <family val="2"/>
    </font>
    <font>
      <sz val="12"/>
      <name val="???"/>
    </font>
    <font>
      <sz val="11"/>
      <name val="ＭＳ ゴシック"/>
      <family val="3"/>
      <charset val="128"/>
    </font>
    <font>
      <sz val="14"/>
      <name val="‚l‚r –¾’©"/>
      <family val="2"/>
      <charset val="128"/>
    </font>
    <font>
      <sz val="11"/>
      <name val="–¾’©"/>
      <family val="1"/>
      <charset val="128"/>
    </font>
    <font>
      <b/>
      <sz val="10"/>
      <name val=".VnTimeH"/>
      <family val="2"/>
    </font>
    <font>
      <sz val="10"/>
      <name val="VnTimes"/>
      <family val="2"/>
    </font>
    <font>
      <sz val="12"/>
      <color indexed="8"/>
      <name val="¹ÙÅÁÃ¼"/>
      <family val="1"/>
      <charset val="129"/>
    </font>
    <font>
      <sz val="12"/>
      <name val="1UAAA?"/>
      <family val="2"/>
    </font>
    <font>
      <sz val="12"/>
      <name val="¹ÙÅÁÃ¼"/>
      <family val="1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4"/>
      <name val=".VnTimeH"/>
      <family val="2"/>
    </font>
    <font>
      <sz val="14"/>
      <name val=".VnTime"/>
      <family val="2"/>
    </font>
    <font>
      <sz val="12"/>
      <name val="¹UAAA¼"/>
      <family val="3"/>
      <charset val="129"/>
    </font>
    <font>
      <sz val="12"/>
      <name val="¹ÙÅÁÃ¼"/>
      <charset val="129"/>
    </font>
    <font>
      <sz val="12"/>
      <name val="¹UAAA¼"/>
      <family val="3"/>
    </font>
    <font>
      <sz val="12"/>
      <name val="Tms Rmn"/>
    </font>
    <font>
      <sz val="12"/>
      <name val="µ¸¿òÃ¼"/>
      <family val="3"/>
      <charset val="129"/>
    </font>
    <font>
      <sz val="10"/>
      <name val="±¼¸²A¼"/>
      <family val="3"/>
      <charset val="129"/>
    </font>
    <font>
      <sz val="12"/>
      <name val="Vs"/>
      <family val="1"/>
      <charset val="128"/>
    </font>
    <font>
      <b/>
      <sz val="10"/>
      <name val="Helv"/>
    </font>
    <font>
      <sz val="10"/>
      <name val="VNI-Aptima"/>
    </font>
    <font>
      <b/>
      <sz val="10"/>
      <color indexed="8"/>
      <name val="Verdana"/>
      <family val="2"/>
    </font>
    <font>
      <b/>
      <i/>
      <sz val="10"/>
      <color indexed="8"/>
      <name val="Verdana"/>
      <family val="2"/>
    </font>
    <font>
      <b/>
      <sz val="10"/>
      <color indexed="9"/>
      <name val="Verdana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b/>
      <sz val="13"/>
      <color indexed="9"/>
      <name val="Verdana"/>
      <family val="2"/>
    </font>
    <font>
      <b/>
      <sz val="10"/>
      <color indexed="54"/>
      <name val="Verdana"/>
      <family val="2"/>
    </font>
    <font>
      <sz val="11"/>
      <color indexed="8"/>
      <name val="Arial"/>
      <family val="2"/>
    </font>
    <font>
      <b/>
      <sz val="10"/>
      <name val="Tms Rmn"/>
      <family val="1"/>
    </font>
    <font>
      <sz val="8"/>
      <color indexed="8"/>
      <name val="Arial"/>
      <family val="2"/>
    </font>
    <font>
      <b/>
      <sz val="12"/>
      <name val="VNTime"/>
      <family val="2"/>
    </font>
    <font>
      <b/>
      <sz val="12"/>
      <name val="VNTimeH"/>
      <family val="2"/>
    </font>
    <font>
      <sz val="10"/>
      <name val="Arial CE"/>
      <charset val="238"/>
    </font>
    <font>
      <sz val="9"/>
      <color indexed="8"/>
      <name val="lr oSVbN"/>
      <family val="3"/>
      <charset val="128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sz val="12"/>
      <name val="VNTime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.VnBook-AntiquaH"/>
      <family val="2"/>
    </font>
    <font>
      <b/>
      <sz val="12"/>
      <name val="Helv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0"/>
      <name val=".VnTime"/>
      <family val="2"/>
    </font>
    <font>
      <b/>
      <sz val="14"/>
      <name val=".VnTimeH"/>
      <family val="2"/>
    </font>
    <font>
      <sz val="12"/>
      <name val="±¼¸²Ã¼"/>
      <family val="3"/>
      <charset val="129"/>
    </font>
    <font>
      <b/>
      <sz val="11"/>
      <name val="Helv"/>
    </font>
    <font>
      <sz val="10"/>
      <name val=".VnAvant"/>
      <family val="2"/>
    </font>
    <font>
      <sz val="12"/>
      <name val="Arial"/>
      <family val="2"/>
    </font>
    <font>
      <sz val="9"/>
      <name val="VNI-Helve-Condense"/>
    </font>
    <font>
      <sz val="13"/>
      <name val=".VnTime"/>
      <family val="2"/>
    </font>
    <font>
      <sz val="7"/>
      <name val="Small Fonts"/>
      <family val="2"/>
    </font>
    <font>
      <b/>
      <sz val="12"/>
      <name val="VN-NTime"/>
      <family val="2"/>
    </font>
    <font>
      <sz val="12"/>
      <name val="바탕체"/>
      <family val="1"/>
      <charset val="129"/>
    </font>
    <font>
      <sz val="10"/>
      <name val="Helv"/>
      <family val="2"/>
    </font>
    <font>
      <b/>
      <sz val="11"/>
      <name val="Arial"/>
      <family val="2"/>
    </font>
    <font>
      <sz val="12"/>
      <color indexed="8"/>
      <name val="Times New Roman"/>
      <family val="1"/>
    </font>
    <font>
      <b/>
      <sz val="10"/>
      <name val="MS Sans Serif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11"/>
      <name val=".VnTime"/>
      <family val="2"/>
    </font>
    <font>
      <sz val="11"/>
      <color indexed="32"/>
      <name val="VNI-Times"/>
    </font>
    <font>
      <b/>
      <sz val="12"/>
      <name val=".VnArial Narrow"/>
      <family val="2"/>
    </font>
    <font>
      <sz val="13"/>
      <name val=".VnArialH"/>
      <family val="2"/>
    </font>
    <font>
      <i/>
      <sz val="11"/>
      <name val=".VnTime"/>
      <family val="2"/>
    </font>
    <font>
      <i/>
      <sz val="12"/>
      <name val=".VnArial Narrow"/>
      <family val="2"/>
    </font>
    <font>
      <b/>
      <sz val="8"/>
      <name val=".VnTime"/>
      <family val="2"/>
    </font>
    <font>
      <sz val="11"/>
      <name val=".VnArial Narrow"/>
      <family val="2"/>
    </font>
    <font>
      <sz val="11"/>
      <name val="VNI-Times"/>
    </font>
    <font>
      <sz val="13"/>
      <name val=".VnArial"/>
      <family val="2"/>
    </font>
    <font>
      <sz val="8"/>
      <name val=".VnHelvetIns"/>
      <family val="2"/>
    </font>
    <font>
      <sz val="12"/>
      <name val="VNTime"/>
    </font>
    <font>
      <sz val="14"/>
      <name val=".Vn3DH"/>
      <family val="2"/>
    </font>
    <font>
      <b/>
      <sz val="8.5"/>
      <color indexed="9"/>
      <name val="Arial"/>
      <family val="2"/>
    </font>
    <font>
      <b/>
      <sz val="8.5"/>
      <name val="Arial"/>
      <family val="2"/>
    </font>
    <font>
      <sz val="10"/>
      <name val=".VnArial Narrow"/>
      <family val="2"/>
    </font>
    <font>
      <sz val="10"/>
      <name val="VNtimes new roman"/>
      <family val="2"/>
    </font>
    <font>
      <b/>
      <sz val="8"/>
      <name val="VN Helvetica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9"/>
      <name val=".VnTime"/>
      <family val="2"/>
    </font>
    <font>
      <sz val="14"/>
      <name val="Terminal"/>
      <family val="3"/>
      <charset val="255"/>
    </font>
    <font>
      <sz val="14"/>
      <name val=".VnArial"/>
      <family val="2"/>
    </font>
    <font>
      <sz val="10"/>
      <name val="lr –พ’ฉ"/>
      <family val="3"/>
      <charset val="128"/>
    </font>
    <font>
      <sz val="14"/>
      <name val="AngsanaUPC"/>
      <family val="2"/>
      <charset val="222"/>
    </font>
    <font>
      <sz val="12"/>
      <name val="ｹﾙﾅﾁﾃｼ"/>
      <family val="1"/>
      <charset val="128"/>
    </font>
    <font>
      <sz val="11"/>
      <name val="ｵｸｿ "/>
      <family val="3"/>
      <charset val="128"/>
    </font>
    <font>
      <u/>
      <sz val="11"/>
      <color indexed="12"/>
      <name val="ＭＳ Ｐゴシック"/>
      <family val="3"/>
      <charset val="128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2"/>
      <name val="中ゴシック体"/>
      <family val="3"/>
      <charset val="128"/>
    </font>
    <font>
      <sz val="9"/>
      <name val="Arial"/>
      <family val="2"/>
    </font>
    <font>
      <sz val="11"/>
      <name val="돋움"/>
      <family val="2"/>
    </font>
    <font>
      <sz val="10"/>
      <name val="굴림체"/>
      <family val="3"/>
    </font>
    <font>
      <sz val="10"/>
      <name val="돋움체"/>
      <family val="3"/>
      <charset val="129"/>
    </font>
    <font>
      <sz val="14"/>
      <name val="ＭＳ 明朝"/>
      <family val="1"/>
      <charset val="128"/>
    </font>
    <font>
      <sz val="9"/>
      <color indexed="8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u/>
      <sz val="12"/>
      <color indexed="12"/>
      <name val="Times New Roman"/>
      <family val="1"/>
    </font>
    <font>
      <u/>
      <sz val="12"/>
      <color indexed="36"/>
      <name val="Times New Roman"/>
      <family val="1"/>
    </font>
    <font>
      <sz val="10"/>
      <name val=" "/>
      <family val="1"/>
      <charset val="136"/>
    </font>
    <font>
      <sz val="8"/>
      <name val=".VnHelvetIns"/>
      <family val="2"/>
    </font>
    <font>
      <sz val="10"/>
      <name val="Arial"/>
      <family val="2"/>
      <charset val="163"/>
    </font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9"/>
      <color indexed="8"/>
      <name val="宋体"/>
      <family val="3"/>
      <charset val="134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indexed="8"/>
      <name val="Times New Roman"/>
      <family val="1"/>
    </font>
    <font>
      <i/>
      <sz val="14"/>
      <color indexed="8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u/>
      <sz val="10"/>
      <color theme="10"/>
      <name val="Arial"/>
      <family val="2"/>
    </font>
    <font>
      <sz val="10"/>
      <name val="Arial"/>
      <family val="2"/>
    </font>
    <font>
      <sz val="8"/>
      <name val="Arial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0"/>
      </right>
      <top/>
      <bottom/>
      <diagonal/>
    </border>
    <border>
      <left/>
      <right style="thin">
        <color indexed="9"/>
      </right>
      <top style="medium">
        <color indexed="9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182">
    <xf numFmtId="217" fontId="0" fillId="0" borderId="0"/>
    <xf numFmtId="171" fontId="9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172" fontId="11" fillId="0" borderId="0">
      <protection locked="0"/>
    </xf>
    <xf numFmtId="217" fontId="8" fillId="0" borderId="0" applyNumberFormat="0" applyFill="0" applyBorder="0" applyAlignment="0" applyProtection="0"/>
    <xf numFmtId="217" fontId="12" fillId="0" borderId="0"/>
    <xf numFmtId="217" fontId="3" fillId="0" borderId="0"/>
    <xf numFmtId="170" fontId="13" fillId="0" borderId="1" applyFont="0" applyBorder="0"/>
    <xf numFmtId="173" fontId="3" fillId="0" borderId="0" applyFont="0" applyFill="0" applyBorder="0" applyAlignment="0" applyProtection="0"/>
    <xf numFmtId="217" fontId="14" fillId="0" borderId="0" applyFont="0" applyFill="0" applyBorder="0" applyAlignment="0" applyProtection="0"/>
    <xf numFmtId="174" fontId="3" fillId="0" borderId="0" applyFont="0" applyFill="0" applyBorder="0" applyAlignment="0" applyProtection="0"/>
    <xf numFmtId="217" fontId="3" fillId="0" borderId="0" applyNumberFormat="0" applyFill="0" applyBorder="0" applyAlignment="0" applyProtection="0"/>
    <xf numFmtId="217" fontId="3" fillId="0" borderId="0" applyNumberFormat="0" applyFill="0" applyBorder="0" applyAlignment="0" applyProtection="0"/>
    <xf numFmtId="175" fontId="15" fillId="0" borderId="0" applyFont="0" applyFill="0" applyBorder="0" applyAlignment="0" applyProtection="0"/>
    <xf numFmtId="217" fontId="16" fillId="0" borderId="0"/>
    <xf numFmtId="217" fontId="17" fillId="0" borderId="0" applyNumberFormat="0" applyFill="0" applyBorder="0" applyAlignment="0" applyProtection="0">
      <alignment vertical="top"/>
      <protection locked="0"/>
    </xf>
    <xf numFmtId="217" fontId="17" fillId="0" borderId="0" applyNumberFormat="0" applyFill="0" applyBorder="0" applyAlignment="0" applyProtection="0">
      <alignment vertical="top"/>
      <protection locked="0"/>
    </xf>
    <xf numFmtId="217" fontId="18" fillId="0" borderId="0" applyNumberFormat="0" applyFill="0" applyBorder="0" applyAlignment="0" applyProtection="0">
      <alignment vertical="top"/>
      <protection locked="0"/>
    </xf>
    <xf numFmtId="41" fontId="19" fillId="0" borderId="0" applyFont="0" applyFill="0" applyBorder="0" applyAlignment="0" applyProtection="0"/>
    <xf numFmtId="167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217" fontId="23" fillId="0" borderId="0" applyFont="0" applyFill="0" applyBorder="0" applyAlignment="0" applyProtection="0"/>
    <xf numFmtId="217" fontId="24" fillId="0" borderId="0"/>
    <xf numFmtId="217" fontId="20" fillId="0" borderId="0"/>
    <xf numFmtId="217" fontId="25" fillId="0" borderId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26" fillId="0" borderId="0"/>
    <xf numFmtId="217" fontId="3" fillId="0" borderId="0" applyNumberFormat="0" applyFill="0" applyBorder="0" applyAlignment="0" applyProtection="0"/>
    <xf numFmtId="167" fontId="8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217" fontId="10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7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2" fontId="27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17" fontId="10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217" fontId="3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217" fontId="12" fillId="0" borderId="0"/>
    <xf numFmtId="217" fontId="2" fillId="0" borderId="0"/>
    <xf numFmtId="217" fontId="3" fillId="0" borderId="0" applyFill="0" applyBorder="0"/>
    <xf numFmtId="43" fontId="10" fillId="0" borderId="0" applyFont="0" applyFill="0" applyBorder="0" applyAlignment="0" applyProtection="0"/>
    <xf numFmtId="180" fontId="29" fillId="0" borderId="0" applyFont="0" applyFill="0" applyBorder="0" applyAlignment="0" applyProtection="0"/>
    <xf numFmtId="181" fontId="3" fillId="0" borderId="0" applyFont="0" applyFill="0" applyBorder="0" applyAlignment="0" applyProtection="0"/>
    <xf numFmtId="217" fontId="30" fillId="0" borderId="0"/>
    <xf numFmtId="217" fontId="31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2" fontId="27" fillId="0" borderId="0" applyFont="0" applyFill="0" applyBorder="0" applyAlignment="0" applyProtection="0"/>
    <xf numFmtId="171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9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9" fillId="0" borderId="0" applyFont="0" applyFill="0" applyBorder="0" applyAlignment="0" applyProtection="0"/>
    <xf numFmtId="41" fontId="27" fillId="0" borderId="0" applyFont="0" applyFill="0" applyBorder="0" applyAlignment="0" applyProtection="0"/>
    <xf numFmtId="167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217" fontId="3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217" fontId="12" fillId="0" borderId="0"/>
    <xf numFmtId="217" fontId="2" fillId="0" borderId="0"/>
    <xf numFmtId="217" fontId="3" fillId="0" borderId="0" applyFill="0" applyBorder="0"/>
    <xf numFmtId="217" fontId="30" fillId="0" borderId="0"/>
    <xf numFmtId="41" fontId="3" fillId="0" borderId="0" applyFont="0" applyFill="0" applyBorder="0" applyAlignment="0" applyProtection="0"/>
    <xf numFmtId="217" fontId="31" fillId="0" borderId="0" applyNumberFormat="0" applyFont="0" applyFill="0" applyBorder="0" applyAlignment="0" applyProtection="0"/>
    <xf numFmtId="181" fontId="3" fillId="0" borderId="0" applyFont="0" applyFill="0" applyBorder="0" applyAlignment="0" applyProtection="0"/>
    <xf numFmtId="180" fontId="29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79" fontId="28" fillId="0" borderId="0" applyFont="0" applyFill="0" applyBorder="0" applyAlignment="0" applyProtection="0"/>
    <xf numFmtId="217" fontId="2" fillId="0" borderId="0"/>
    <xf numFmtId="217" fontId="3" fillId="0" borderId="0"/>
    <xf numFmtId="217" fontId="30" fillId="0" borderId="0"/>
    <xf numFmtId="217" fontId="31" fillId="0" borderId="0" applyNumberFormat="0" applyFont="0" applyFill="0" applyBorder="0" applyAlignment="0" applyProtection="0"/>
    <xf numFmtId="217" fontId="12" fillId="0" borderId="0"/>
    <xf numFmtId="180" fontId="29" fillId="0" borderId="0" applyFont="0" applyFill="0" applyBorder="0" applyAlignment="0" applyProtection="0"/>
    <xf numFmtId="43" fontId="10" fillId="0" borderId="0" applyFont="0" applyFill="0" applyBorder="0" applyAlignment="0" applyProtection="0"/>
    <xf numFmtId="18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217" fontId="3" fillId="0" borderId="0" applyFill="0" applyBorder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17" fontId="31" fillId="0" borderId="0" applyNumberFormat="0" applyFont="0" applyFill="0" applyBorder="0" applyAlignment="0" applyProtection="0"/>
    <xf numFmtId="217" fontId="12" fillId="0" borderId="0"/>
    <xf numFmtId="217" fontId="3" fillId="0" borderId="0" applyFill="0" applyBorder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43" fontId="10" fillId="0" borderId="0" applyFont="0" applyFill="0" applyBorder="0" applyAlignment="0" applyProtection="0"/>
    <xf numFmtId="217" fontId="3" fillId="0" borderId="0"/>
    <xf numFmtId="180" fontId="29" fillId="0" borderId="0" applyFont="0" applyFill="0" applyBorder="0" applyAlignment="0" applyProtection="0"/>
    <xf numFmtId="217" fontId="2" fillId="0" borderId="0"/>
    <xf numFmtId="18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217" fontId="3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1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32" fillId="0" borderId="0" applyFont="0" applyFill="0" applyBorder="0" applyAlignment="0" applyProtection="0"/>
    <xf numFmtId="44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217" fontId="34" fillId="0" borderId="0"/>
    <xf numFmtId="217" fontId="33" fillId="0" borderId="0"/>
    <xf numFmtId="217" fontId="3" fillId="0" borderId="0">
      <protection locked="0"/>
    </xf>
    <xf numFmtId="217" fontId="3" fillId="0" borderId="0">
      <protection locked="0"/>
    </xf>
    <xf numFmtId="172" fontId="11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72" fontId="11" fillId="0" borderId="0">
      <protection locked="0"/>
    </xf>
    <xf numFmtId="217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172" fontId="11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72" fontId="11" fillId="0" borderId="0">
      <protection locked="0"/>
    </xf>
    <xf numFmtId="217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217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184" fontId="3" fillId="0" borderId="0">
      <protection locked="0"/>
    </xf>
    <xf numFmtId="217" fontId="3" fillId="0" borderId="0"/>
    <xf numFmtId="217" fontId="35" fillId="0" borderId="0"/>
    <xf numFmtId="167" fontId="52" fillId="0" borderId="0" applyFont="0" applyFill="0" applyBorder="0" applyAlignment="0" applyProtection="0"/>
    <xf numFmtId="169" fontId="52" fillId="0" borderId="0" applyFont="0" applyFill="0" applyBorder="0" applyAlignment="0" applyProtection="0"/>
    <xf numFmtId="217" fontId="52" fillId="0" borderId="0"/>
    <xf numFmtId="44" fontId="68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3" fillId="0" borderId="0" applyFont="0" applyFill="0" applyBorder="0" applyAlignment="0" applyProtection="0"/>
    <xf numFmtId="217" fontId="127" fillId="0" borderId="0"/>
    <xf numFmtId="171" fontId="52" fillId="0" borderId="0" applyFont="0" applyFill="0" applyBorder="0" applyAlignment="0" applyProtection="0"/>
    <xf numFmtId="192" fontId="52" fillId="0" borderId="0" applyFont="0" applyFill="0" applyBorder="0" applyAlignment="0" applyProtection="0"/>
    <xf numFmtId="183" fontId="32" fillId="0" borderId="0" applyFont="0" applyFill="0" applyBorder="0" applyAlignment="0" applyProtection="0"/>
    <xf numFmtId="217" fontId="36" fillId="0" borderId="2" applyFont="0" applyAlignment="0">
      <alignment horizontal="left"/>
    </xf>
    <xf numFmtId="217" fontId="37" fillId="0" borderId="0"/>
    <xf numFmtId="9" fontId="38" fillId="0" borderId="0" applyBorder="0" applyAlignment="0" applyProtection="0"/>
    <xf numFmtId="9" fontId="39" fillId="0" borderId="0" applyFont="0" applyFill="0" applyBorder="0" applyAlignment="0" applyProtection="0"/>
    <xf numFmtId="9" fontId="40" fillId="0" borderId="0" applyFont="0" applyFill="0" applyBorder="0" applyAlignment="0" applyProtection="0"/>
    <xf numFmtId="217" fontId="41" fillId="2" borderId="0"/>
    <xf numFmtId="217" fontId="8" fillId="0" borderId="0"/>
    <xf numFmtId="217" fontId="42" fillId="2" borderId="0"/>
    <xf numFmtId="217" fontId="43" fillId="0" borderId="0">
      <alignment wrapText="1"/>
    </xf>
    <xf numFmtId="170" fontId="44" fillId="0" borderId="3" applyNumberFormat="0" applyFont="0" applyBorder="0" applyAlignment="0">
      <alignment horizontal="center" vertical="center"/>
    </xf>
    <xf numFmtId="217" fontId="10" fillId="0" borderId="0"/>
    <xf numFmtId="3" fontId="45" fillId="0" borderId="0">
      <alignment vertical="center"/>
    </xf>
    <xf numFmtId="185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217" fontId="46" fillId="0" borderId="0" applyFont="0" applyFill="0" applyBorder="0" applyAlignment="0" applyProtection="0"/>
    <xf numFmtId="187" fontId="27" fillId="0" borderId="0" applyFont="0" applyFill="0" applyBorder="0" applyAlignment="0" applyProtection="0"/>
    <xf numFmtId="188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217" fontId="46" fillId="0" borderId="0" applyFont="0" applyFill="0" applyBorder="0" applyAlignment="0" applyProtection="0"/>
    <xf numFmtId="188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181" fontId="47" fillId="0" borderId="0" applyFont="0" applyFill="0" applyBorder="0" applyAlignment="0" applyProtection="0"/>
    <xf numFmtId="217" fontId="48" fillId="0" borderId="0" applyFont="0" applyFill="0" applyBorder="0" applyAlignment="0" applyProtection="0"/>
    <xf numFmtId="181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217" fontId="48" fillId="0" borderId="0" applyFont="0" applyFill="0" applyBorder="0" applyAlignment="0" applyProtection="0"/>
    <xf numFmtId="175" fontId="47" fillId="0" borderId="0" applyFont="0" applyFill="0" applyBorder="0" applyAlignment="0" applyProtection="0"/>
    <xf numFmtId="171" fontId="9" fillId="0" borderId="0" applyFont="0" applyFill="0" applyBorder="0" applyAlignment="0" applyProtection="0"/>
    <xf numFmtId="217" fontId="49" fillId="0" borderId="0" applyNumberFormat="0" applyFill="0" applyBorder="0" applyAlignment="0" applyProtection="0"/>
    <xf numFmtId="217" fontId="2" fillId="0" borderId="0"/>
    <xf numFmtId="192" fontId="10" fillId="0" borderId="0" applyFont="0" applyFill="0" applyBorder="0" applyAlignment="0" applyProtection="0"/>
    <xf numFmtId="217" fontId="48" fillId="0" borderId="0"/>
    <xf numFmtId="217" fontId="39" fillId="0" borderId="0"/>
    <xf numFmtId="217" fontId="2" fillId="0" borderId="0"/>
    <xf numFmtId="217" fontId="46" fillId="0" borderId="0"/>
    <xf numFmtId="217" fontId="50" fillId="0" borderId="0"/>
    <xf numFmtId="217" fontId="51" fillId="0" borderId="0"/>
    <xf numFmtId="193" fontId="5" fillId="0" borderId="0" applyFill="0" applyBorder="0" applyAlignment="0"/>
    <xf numFmtId="194" fontId="3" fillId="0" borderId="0" applyFill="0" applyBorder="0" applyAlignment="0"/>
    <xf numFmtId="195" fontId="3" fillId="0" borderId="0" applyFill="0" applyBorder="0" applyAlignment="0"/>
    <xf numFmtId="196" fontId="3" fillId="0" borderId="0" applyFill="0" applyBorder="0" applyAlignment="0"/>
    <xf numFmtId="197" fontId="3" fillId="0" borderId="0" applyFill="0" applyBorder="0" applyAlignment="0"/>
    <xf numFmtId="198" fontId="3" fillId="0" borderId="0" applyFill="0" applyBorder="0" applyAlignment="0"/>
    <xf numFmtId="199" fontId="3" fillId="0" borderId="0" applyFill="0" applyBorder="0" applyAlignment="0"/>
    <xf numFmtId="194" fontId="3" fillId="0" borderId="0" applyFill="0" applyBorder="0" applyAlignment="0"/>
    <xf numFmtId="217" fontId="53" fillId="0" borderId="0"/>
    <xf numFmtId="44" fontId="10" fillId="0" borderId="0" applyFont="0" applyFill="0" applyBorder="0" applyAlignment="0" applyProtection="0"/>
    <xf numFmtId="200" fontId="27" fillId="0" borderId="0" applyFont="0" applyFill="0" applyBorder="0" applyAlignment="0" applyProtection="0"/>
    <xf numFmtId="170" fontId="15" fillId="0" borderId="0" applyFont="0" applyFill="0" applyBorder="0" applyAlignment="0" applyProtection="0"/>
    <xf numFmtId="1" fontId="54" fillId="0" borderId="4" applyBorder="0"/>
    <xf numFmtId="201" fontId="55" fillId="3" borderId="5">
      <alignment horizontal="right" vertical="center"/>
    </xf>
    <xf numFmtId="217" fontId="56" fillId="3" borderId="5">
      <alignment horizontal="right" vertical="center"/>
    </xf>
    <xf numFmtId="217" fontId="3" fillId="3" borderId="6"/>
    <xf numFmtId="217" fontId="57" fillId="4" borderId="5">
      <alignment horizontal="center" vertical="center"/>
    </xf>
    <xf numFmtId="201" fontId="55" fillId="3" borderId="5">
      <alignment horizontal="right" vertical="center"/>
    </xf>
    <xf numFmtId="217" fontId="3" fillId="3" borderId="0"/>
    <xf numFmtId="217" fontId="58" fillId="3" borderId="5">
      <alignment horizontal="left" vertical="center"/>
    </xf>
    <xf numFmtId="217" fontId="58" fillId="3" borderId="7">
      <alignment vertical="center"/>
    </xf>
    <xf numFmtId="217" fontId="59" fillId="3" borderId="8">
      <alignment vertical="center"/>
    </xf>
    <xf numFmtId="217" fontId="58" fillId="3" borderId="5"/>
    <xf numFmtId="217" fontId="56" fillId="3" borderId="5">
      <alignment horizontal="right" vertical="center"/>
    </xf>
    <xf numFmtId="217" fontId="60" fillId="5" borderId="5">
      <alignment horizontal="left" vertical="center"/>
    </xf>
    <xf numFmtId="217" fontId="60" fillId="5" borderId="5">
      <alignment horizontal="left" vertical="center"/>
    </xf>
    <xf numFmtId="217" fontId="61" fillId="3" borderId="5">
      <alignment horizontal="left" vertical="center"/>
    </xf>
    <xf numFmtId="217" fontId="62" fillId="3" borderId="6"/>
    <xf numFmtId="217" fontId="55" fillId="6" borderId="5">
      <alignment horizontal="left" vertical="center"/>
    </xf>
    <xf numFmtId="217" fontId="63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198" fontId="3" fillId="0" borderId="0" applyFont="0" applyFill="0" applyBorder="0" applyAlignment="0" applyProtection="0"/>
    <xf numFmtId="202" fontId="8" fillId="0" borderId="9" applyFont="0" applyFill="0" applyBorder="0" applyAlignment="0" applyProtection="0">
      <alignment horizontal="center"/>
    </xf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03" fontId="2" fillId="0" borderId="0"/>
    <xf numFmtId="3" fontId="3" fillId="0" borderId="0" applyFont="0" applyFill="0" applyBorder="0" applyAlignment="0" applyProtection="0"/>
    <xf numFmtId="217" fontId="65" fillId="0" borderId="0">
      <alignment horizontal="center"/>
    </xf>
    <xf numFmtId="8" fontId="12" fillId="0" borderId="0" applyFont="0" applyFill="0" applyBorder="0" applyAlignment="0" applyProtection="0"/>
    <xf numFmtId="217" fontId="63" fillId="0" borderId="0"/>
    <xf numFmtId="217" fontId="63" fillId="0" borderId="0"/>
    <xf numFmtId="194" fontId="3" fillId="0" borderId="0" applyFont="0" applyFill="0" applyBorder="0" applyAlignment="0" applyProtection="0"/>
    <xf numFmtId="204" fontId="8" fillId="0" borderId="0" applyFont="0" applyFill="0" applyBorder="0" applyAlignment="0" applyProtection="0"/>
    <xf numFmtId="205" fontId="3" fillId="0" borderId="0"/>
    <xf numFmtId="217" fontId="3" fillId="0" borderId="0" applyFont="0" applyFill="0" applyBorder="0" applyAlignment="0" applyProtection="0"/>
    <xf numFmtId="14" fontId="5" fillId="0" borderId="0" applyFill="0" applyBorder="0" applyAlignment="0"/>
    <xf numFmtId="217" fontId="3" fillId="0" borderId="0" applyFont="0" applyFill="0" applyBorder="0" applyAlignment="0" applyProtection="0"/>
    <xf numFmtId="3" fontId="66" fillId="0" borderId="10">
      <alignment horizontal="left" vertical="top" wrapText="1"/>
    </xf>
    <xf numFmtId="206" fontId="3" fillId="0" borderId="11">
      <alignment vertical="center"/>
    </xf>
    <xf numFmtId="207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9" fontId="3" fillId="0" borderId="0"/>
    <xf numFmtId="41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1" fontId="8" fillId="0" borderId="0" applyFont="0" applyFill="0" applyBorder="0" applyAlignment="0" applyProtection="0"/>
    <xf numFmtId="211" fontId="8" fillId="0" borderId="0" applyFont="0" applyFill="0" applyBorder="0" applyAlignment="0" applyProtection="0"/>
    <xf numFmtId="212" fontId="8" fillId="0" borderId="0" applyFont="0" applyFill="0" applyBorder="0" applyAlignment="0" applyProtection="0"/>
    <xf numFmtId="212" fontId="8" fillId="0" borderId="0" applyFont="0" applyFill="0" applyBorder="0" applyAlignment="0" applyProtection="0"/>
    <xf numFmtId="213" fontId="67" fillId="0" borderId="0" applyFont="0" applyFill="0" applyBorder="0" applyAlignment="0" applyProtection="0"/>
    <xf numFmtId="213" fontId="67" fillId="0" borderId="0" applyFont="0" applyFill="0" applyBorder="0" applyAlignment="0" applyProtection="0"/>
    <xf numFmtId="213" fontId="67" fillId="0" borderId="0" applyFont="0" applyFill="0" applyBorder="0" applyAlignment="0" applyProtection="0"/>
    <xf numFmtId="213" fontId="67" fillId="0" borderId="0" applyFont="0" applyFill="0" applyBorder="0" applyAlignment="0" applyProtection="0"/>
    <xf numFmtId="213" fontId="67" fillId="0" borderId="0" applyFont="0" applyFill="0" applyBorder="0" applyAlignment="0" applyProtection="0"/>
    <xf numFmtId="213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213" fontId="67" fillId="0" borderId="0" applyFont="0" applyFill="0" applyBorder="0" applyAlignment="0" applyProtection="0"/>
    <xf numFmtId="213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15" fontId="8" fillId="0" borderId="0" applyFont="0" applyFill="0" applyBorder="0" applyAlignment="0" applyProtection="0"/>
    <xf numFmtId="215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216" fontId="67" fillId="0" borderId="0" applyFont="0" applyFill="0" applyBorder="0" applyAlignment="0" applyProtection="0"/>
    <xf numFmtId="216" fontId="67" fillId="0" borderId="0" applyFont="0" applyFill="0" applyBorder="0" applyAlignment="0" applyProtection="0"/>
    <xf numFmtId="216" fontId="67" fillId="0" borderId="0" applyFont="0" applyFill="0" applyBorder="0" applyAlignment="0" applyProtection="0"/>
    <xf numFmtId="216" fontId="67" fillId="0" borderId="0" applyFont="0" applyFill="0" applyBorder="0" applyAlignment="0" applyProtection="0"/>
    <xf numFmtId="216" fontId="67" fillId="0" borderId="0" applyFont="0" applyFill="0" applyBorder="0" applyAlignment="0" applyProtection="0"/>
    <xf numFmtId="216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216" fontId="67" fillId="0" borderId="0" applyFont="0" applyFill="0" applyBorder="0" applyAlignment="0" applyProtection="0"/>
    <xf numFmtId="216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3" fontId="8" fillId="0" borderId="0" applyFont="0" applyBorder="0" applyAlignment="0"/>
    <xf numFmtId="198" fontId="3" fillId="0" borderId="0" applyFill="0" applyBorder="0" applyAlignment="0"/>
    <xf numFmtId="194" fontId="3" fillId="0" borderId="0" applyFill="0" applyBorder="0" applyAlignment="0"/>
    <xf numFmtId="198" fontId="3" fillId="0" borderId="0" applyFill="0" applyBorder="0" applyAlignment="0"/>
    <xf numFmtId="199" fontId="3" fillId="0" borderId="0" applyFill="0" applyBorder="0" applyAlignment="0"/>
    <xf numFmtId="194" fontId="3" fillId="0" borderId="0" applyFill="0" applyBorder="0" applyAlignment="0"/>
    <xf numFmtId="217" fontId="3" fillId="0" borderId="0" applyFont="0" applyFill="0" applyBorder="0" applyAlignment="0" applyProtection="0"/>
    <xf numFmtId="3" fontId="8" fillId="0" borderId="0" applyFont="0" applyBorder="0" applyAlignment="0"/>
    <xf numFmtId="217" fontId="69" fillId="0" borderId="0" applyProtection="0"/>
    <xf numFmtId="217" fontId="70" fillId="0" borderId="0" applyProtection="0"/>
    <xf numFmtId="217" fontId="71" fillId="0" borderId="0" applyProtection="0"/>
    <xf numFmtId="217" fontId="72" fillId="0" borderId="0" applyProtection="0"/>
    <xf numFmtId="217" fontId="73" fillId="0" borderId="0" applyNumberFormat="0" applyFont="0" applyFill="0" applyBorder="0" applyAlignment="0" applyProtection="0"/>
    <xf numFmtId="217" fontId="74" fillId="0" borderId="0" applyProtection="0"/>
    <xf numFmtId="217" fontId="75" fillId="0" borderId="0" applyProtection="0"/>
    <xf numFmtId="2" fontId="3" fillId="0" borderId="0" applyFont="0" applyFill="0" applyBorder="0" applyAlignment="0" applyProtection="0"/>
    <xf numFmtId="217" fontId="76" fillId="0" borderId="0">
      <alignment vertical="top" wrapText="1"/>
    </xf>
    <xf numFmtId="38" fontId="77" fillId="2" borderId="0" applyNumberFormat="0" applyBorder="0" applyAlignment="0" applyProtection="0"/>
    <xf numFmtId="43" fontId="78" fillId="0" borderId="12"/>
    <xf numFmtId="217" fontId="79" fillId="0" borderId="0" applyNumberFormat="0" applyFont="0" applyBorder="0" applyAlignment="0">
      <alignment horizontal="left" vertical="center"/>
    </xf>
    <xf numFmtId="217" fontId="80" fillId="0" borderId="0">
      <alignment horizontal="left"/>
    </xf>
    <xf numFmtId="217" fontId="81" fillId="7" borderId="13"/>
    <xf numFmtId="217" fontId="82" fillId="0" borderId="14" applyNumberFormat="0" applyAlignment="0" applyProtection="0">
      <alignment horizontal="left" vertical="center"/>
    </xf>
    <xf numFmtId="217" fontId="82" fillId="0" borderId="15">
      <alignment horizontal="left" vertical="center"/>
    </xf>
    <xf numFmtId="217" fontId="7" fillId="8" borderId="16">
      <alignment vertical="center" wrapText="1"/>
    </xf>
    <xf numFmtId="217" fontId="83" fillId="0" borderId="0" applyProtection="0"/>
    <xf numFmtId="217" fontId="82" fillId="0" borderId="0" applyProtection="0"/>
    <xf numFmtId="5" fontId="84" fillId="9" borderId="5" applyNumberFormat="0" applyAlignment="0">
      <alignment horizontal="left" vertical="top"/>
    </xf>
    <xf numFmtId="49" fontId="85" fillId="0" borderId="5">
      <alignment vertical="center"/>
    </xf>
    <xf numFmtId="167" fontId="8" fillId="0" borderId="0" applyFont="0" applyFill="0" applyBorder="0" applyAlignment="0" applyProtection="0"/>
    <xf numFmtId="38" fontId="12" fillId="0" borderId="0" applyFont="0" applyFill="0" applyBorder="0" applyAlignment="0" applyProtection="0"/>
    <xf numFmtId="218" fontId="86" fillId="0" borderId="0" applyFont="0" applyFill="0" applyBorder="0" applyAlignment="0" applyProtection="0"/>
    <xf numFmtId="10" fontId="77" fillId="6" borderId="5" applyNumberFormat="0" applyBorder="0" applyAlignment="0" applyProtection="0"/>
    <xf numFmtId="217" fontId="2" fillId="0" borderId="0"/>
    <xf numFmtId="167" fontId="8" fillId="0" borderId="0" applyFont="0" applyFill="0" applyBorder="0" applyAlignment="0" applyProtection="0"/>
    <xf numFmtId="217" fontId="8" fillId="0" borderId="0"/>
    <xf numFmtId="217" fontId="76" fillId="0" borderId="0"/>
    <xf numFmtId="217" fontId="12" fillId="0" borderId="0"/>
    <xf numFmtId="43" fontId="78" fillId="0" borderId="17"/>
    <xf numFmtId="217" fontId="12" fillId="0" borderId="0"/>
    <xf numFmtId="198" fontId="3" fillId="0" borderId="0" applyFill="0" applyBorder="0" applyAlignment="0"/>
    <xf numFmtId="194" fontId="3" fillId="0" borderId="0" applyFill="0" applyBorder="0" applyAlignment="0"/>
    <xf numFmtId="198" fontId="3" fillId="0" borderId="0" applyFill="0" applyBorder="0" applyAlignment="0"/>
    <xf numFmtId="199" fontId="3" fillId="0" borderId="0" applyFill="0" applyBorder="0" applyAlignment="0"/>
    <xf numFmtId="194" fontId="3" fillId="0" borderId="0" applyFill="0" applyBorder="0" applyAlignment="0"/>
    <xf numFmtId="217" fontId="3" fillId="0" borderId="18"/>
    <xf numFmtId="44" fontId="78" fillId="0" borderId="19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17" fontId="87" fillId="0" borderId="20"/>
    <xf numFmtId="17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20" fontId="88" fillId="0" borderId="21"/>
    <xf numFmtId="221" fontId="12" fillId="0" borderId="0" applyFont="0" applyFill="0" applyBorder="0" applyAlignment="0" applyProtection="0"/>
    <xf numFmtId="222" fontId="8" fillId="0" borderId="0" applyFont="0" applyFill="0" applyBorder="0" applyAlignment="0" applyProtection="0"/>
    <xf numFmtId="223" fontId="9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224" fontId="9" fillId="0" borderId="0" applyFont="0" applyFill="0" applyBorder="0" applyAlignment="0" applyProtection="0"/>
    <xf numFmtId="8" fontId="12" fillId="0" borderId="0" applyFont="0" applyFill="0" applyBorder="0" applyAlignment="0" applyProtection="0"/>
    <xf numFmtId="8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8" fontId="12" fillId="0" borderId="0" applyFont="0" applyFill="0" applyBorder="0" applyAlignment="0" applyProtection="0"/>
    <xf numFmtId="217" fontId="89" fillId="0" borderId="0" applyNumberFormat="0" applyFont="0" applyFill="0" applyAlignment="0"/>
    <xf numFmtId="4" fontId="90" fillId="0" borderId="2" applyBorder="0"/>
    <xf numFmtId="4" fontId="90" fillId="0" borderId="2" applyBorder="0"/>
    <xf numFmtId="217" fontId="91" fillId="0" borderId="5"/>
    <xf numFmtId="217" fontId="2" fillId="0" borderId="0"/>
    <xf numFmtId="217" fontId="3" fillId="0" borderId="0"/>
    <xf numFmtId="37" fontId="92" fillId="0" borderId="0"/>
    <xf numFmtId="217" fontId="93" fillId="0" borderId="5" applyNumberFormat="0" applyFont="0" applyFill="0" applyBorder="0" applyAlignment="0">
      <alignment horizontal="center"/>
    </xf>
    <xf numFmtId="225" fontId="91" fillId="0" borderId="0"/>
    <xf numFmtId="217" fontId="63" fillId="0" borderId="0"/>
    <xf numFmtId="217" fontId="94" fillId="0" borderId="0"/>
    <xf numFmtId="217" fontId="3" fillId="0" borderId="0"/>
    <xf numFmtId="217" fontId="149" fillId="0" borderId="0"/>
    <xf numFmtId="217" fontId="30" fillId="0" borderId="0">
      <alignment vertical="center"/>
    </xf>
    <xf numFmtId="217" fontId="89" fillId="0" borderId="0"/>
    <xf numFmtId="217" fontId="5" fillId="0" borderId="0"/>
    <xf numFmtId="217" fontId="5" fillId="0" borderId="0"/>
    <xf numFmtId="217" fontId="3" fillId="0" borderId="0"/>
    <xf numFmtId="217" fontId="3" fillId="0" borderId="0"/>
    <xf numFmtId="217" fontId="150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5" fillId="0" borderId="0"/>
    <xf numFmtId="217" fontId="30" fillId="0" borderId="0"/>
    <xf numFmtId="217" fontId="8" fillId="0" borderId="0" applyFont="0" applyAlignment="0">
      <alignment horizontal="center" vertical="center" wrapText="1"/>
    </xf>
    <xf numFmtId="217" fontId="67" fillId="0" borderId="0"/>
    <xf numFmtId="217" fontId="95" fillId="0" borderId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217" fontId="96" fillId="0" borderId="0" applyNumberFormat="0" applyFill="0" applyBorder="0" applyAlignment="0" applyProtection="0"/>
    <xf numFmtId="217" fontId="91" fillId="0" borderId="0" applyNumberFormat="0" applyFill="0" applyBorder="0" applyAlignment="0" applyProtection="0"/>
    <xf numFmtId="217" fontId="8" fillId="0" borderId="0" applyNumberFormat="0" applyFill="0" applyBorder="0" applyAlignment="0" applyProtection="0"/>
    <xf numFmtId="217" fontId="3" fillId="0" borderId="0" applyFont="0" applyFill="0" applyBorder="0" applyAlignment="0" applyProtection="0"/>
    <xf numFmtId="217" fontId="2" fillId="0" borderId="0"/>
    <xf numFmtId="217" fontId="97" fillId="3" borderId="0"/>
    <xf numFmtId="197" fontId="3" fillId="0" borderId="0" applyFont="0" applyFill="0" applyBorder="0" applyAlignment="0" applyProtection="0"/>
    <xf numFmtId="22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2" fillId="0" borderId="12" applyNumberFormat="0" applyBorder="0"/>
    <xf numFmtId="198" fontId="3" fillId="0" borderId="0" applyFill="0" applyBorder="0" applyAlignment="0"/>
    <xf numFmtId="194" fontId="3" fillId="0" borderId="0" applyFill="0" applyBorder="0" applyAlignment="0"/>
    <xf numFmtId="198" fontId="3" fillId="0" borderId="0" applyFill="0" applyBorder="0" applyAlignment="0"/>
    <xf numFmtId="199" fontId="3" fillId="0" borderId="0" applyFill="0" applyBorder="0" applyAlignment="0"/>
    <xf numFmtId="194" fontId="3" fillId="0" borderId="0" applyFill="0" applyBorder="0" applyAlignment="0"/>
    <xf numFmtId="217" fontId="11" fillId="0" borderId="0"/>
    <xf numFmtId="217" fontId="12" fillId="0" borderId="0" applyNumberFormat="0" applyFont="0" applyFill="0" applyBorder="0" applyAlignment="0" applyProtection="0">
      <alignment horizontal="left"/>
    </xf>
    <xf numFmtId="217" fontId="98" fillId="0" borderId="20">
      <alignment horizontal="center"/>
    </xf>
    <xf numFmtId="1" fontId="3" fillId="0" borderId="10" applyNumberFormat="0" applyFill="0" applyAlignment="0" applyProtection="0">
      <alignment horizontal="center" vertical="center"/>
    </xf>
    <xf numFmtId="217" fontId="8" fillId="0" borderId="0" applyNumberFormat="0" applyFill="0" applyBorder="0" applyAlignment="0" applyProtection="0"/>
    <xf numFmtId="4" fontId="99" fillId="8" borderId="22" applyNumberFormat="0" applyProtection="0">
      <alignment vertical="center"/>
    </xf>
    <xf numFmtId="4" fontId="100" fillId="8" borderId="22" applyNumberFormat="0" applyProtection="0">
      <alignment vertical="center"/>
    </xf>
    <xf numFmtId="4" fontId="101" fillId="8" borderId="22" applyNumberFormat="0" applyProtection="0">
      <alignment horizontal="left" vertical="center" indent="1"/>
    </xf>
    <xf numFmtId="4" fontId="101" fillId="5" borderId="0" applyNumberFormat="0" applyProtection="0">
      <alignment horizontal="left" vertical="center" indent="1"/>
    </xf>
    <xf numFmtId="4" fontId="101" fillId="10" borderId="22" applyNumberFormat="0" applyProtection="0">
      <alignment horizontal="right" vertical="center"/>
    </xf>
    <xf numFmtId="4" fontId="101" fillId="11" borderId="22" applyNumberFormat="0" applyProtection="0">
      <alignment horizontal="right" vertical="center"/>
    </xf>
    <xf numFmtId="4" fontId="101" fillId="12" borderId="22" applyNumberFormat="0" applyProtection="0">
      <alignment horizontal="right" vertical="center"/>
    </xf>
    <xf numFmtId="4" fontId="101" fillId="13" borderId="22" applyNumberFormat="0" applyProtection="0">
      <alignment horizontal="right" vertical="center"/>
    </xf>
    <xf numFmtId="4" fontId="101" fillId="14" borderId="22" applyNumberFormat="0" applyProtection="0">
      <alignment horizontal="right" vertical="center"/>
    </xf>
    <xf numFmtId="4" fontId="101" fillId="15" borderId="22" applyNumberFormat="0" applyProtection="0">
      <alignment horizontal="right" vertical="center"/>
    </xf>
    <xf numFmtId="4" fontId="101" fillId="16" borderId="22" applyNumberFormat="0" applyProtection="0">
      <alignment horizontal="right" vertical="center"/>
    </xf>
    <xf numFmtId="4" fontId="101" fillId="17" borderId="22" applyNumberFormat="0" applyProtection="0">
      <alignment horizontal="right" vertical="center"/>
    </xf>
    <xf numFmtId="4" fontId="101" fillId="18" borderId="22" applyNumberFormat="0" applyProtection="0">
      <alignment horizontal="right" vertical="center"/>
    </xf>
    <xf numFmtId="4" fontId="99" fillId="19" borderId="23" applyNumberFormat="0" applyProtection="0">
      <alignment horizontal="left" vertical="center" indent="1"/>
    </xf>
    <xf numFmtId="4" fontId="99" fillId="20" borderId="0" applyNumberFormat="0" applyProtection="0">
      <alignment horizontal="left" vertical="center" indent="1"/>
    </xf>
    <xf numFmtId="4" fontId="99" fillId="5" borderId="0" applyNumberFormat="0" applyProtection="0">
      <alignment horizontal="left" vertical="center" indent="1"/>
    </xf>
    <xf numFmtId="4" fontId="101" fillId="20" borderId="22" applyNumberFormat="0" applyProtection="0">
      <alignment horizontal="right" vertical="center"/>
    </xf>
    <xf numFmtId="4" fontId="5" fillId="20" borderId="0" applyNumberFormat="0" applyProtection="0">
      <alignment horizontal="left" vertical="center" indent="1"/>
    </xf>
    <xf numFmtId="4" fontId="5" fillId="5" borderId="0" applyNumberFormat="0" applyProtection="0">
      <alignment horizontal="left" vertical="center" indent="1"/>
    </xf>
    <xf numFmtId="4" fontId="101" fillId="21" borderId="22" applyNumberFormat="0" applyProtection="0">
      <alignment vertical="center"/>
    </xf>
    <xf numFmtId="4" fontId="102" fillId="21" borderId="22" applyNumberFormat="0" applyProtection="0">
      <alignment vertical="center"/>
    </xf>
    <xf numFmtId="4" fontId="99" fillId="20" borderId="24" applyNumberFormat="0" applyProtection="0">
      <alignment horizontal="left" vertical="center" indent="1"/>
    </xf>
    <xf numFmtId="4" fontId="101" fillId="21" borderId="22" applyNumberFormat="0" applyProtection="0">
      <alignment horizontal="right" vertical="center"/>
    </xf>
    <xf numFmtId="4" fontId="102" fillId="21" borderId="22" applyNumberFormat="0" applyProtection="0">
      <alignment horizontal="right" vertical="center"/>
    </xf>
    <xf numFmtId="4" fontId="99" fillId="20" borderId="22" applyNumberFormat="0" applyProtection="0">
      <alignment horizontal="left" vertical="center" indent="1"/>
    </xf>
    <xf numFmtId="4" fontId="103" fillId="9" borderId="24" applyNumberFormat="0" applyProtection="0">
      <alignment horizontal="left" vertical="center" indent="1"/>
    </xf>
    <xf numFmtId="4" fontId="104" fillId="21" borderId="22" applyNumberFormat="0" applyProtection="0">
      <alignment horizontal="right" vertical="center"/>
    </xf>
    <xf numFmtId="38" fontId="28" fillId="0" borderId="0" applyFont="0" applyFill="0" applyBorder="0" applyAlignment="0" applyProtection="0"/>
    <xf numFmtId="40" fontId="28" fillId="0" borderId="0" applyFont="0" applyFill="0" applyBorder="0" applyAlignment="0" applyProtection="0"/>
    <xf numFmtId="217" fontId="3" fillId="22" borderId="0"/>
    <xf numFmtId="217" fontId="10" fillId="0" borderId="0" applyNumberFormat="0" applyFill="0" applyBorder="0" applyAlignment="0" applyProtection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9" fontId="3" fillId="0" borderId="0" applyFont="0" applyFill="0" applyBorder="0" applyAlignment="0" applyProtection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27" fontId="3" fillId="0" borderId="0" applyFill="0" applyBorder="0" applyAlignment="0" applyProtection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217" fontId="3" fillId="0" borderId="0"/>
    <xf numFmtId="175" fontId="3" fillId="0" borderId="0" applyFont="0" applyFill="0" applyBorder="0" applyAlignment="0" applyProtection="0"/>
    <xf numFmtId="38" fontId="105" fillId="0" borderId="0" applyFont="0" applyFill="0" applyBorder="0" applyAlignment="0" applyProtection="0"/>
    <xf numFmtId="38" fontId="28" fillId="0" borderId="0" applyFont="0" applyFill="0" applyBorder="0" applyAlignment="0" applyProtection="0"/>
    <xf numFmtId="175" fontId="3" fillId="0" borderId="0" applyFont="0" applyFill="0" applyBorder="0" applyAlignment="0" applyProtection="0"/>
    <xf numFmtId="38" fontId="105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38" fontId="28" fillId="0" borderId="0" applyFont="0" applyFill="0" applyBorder="0" applyAlignment="0" applyProtection="0"/>
    <xf numFmtId="217" fontId="3" fillId="0" borderId="0"/>
    <xf numFmtId="217" fontId="3" fillId="0" borderId="0"/>
    <xf numFmtId="41" fontId="27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228" fontId="30" fillId="0" borderId="0" applyFont="0" applyFill="0" applyBorder="0" applyAlignment="0" applyProtection="0"/>
    <xf numFmtId="180" fontId="29" fillId="0" borderId="0" applyFont="0" applyFill="0" applyBorder="0" applyAlignment="0" applyProtection="0"/>
    <xf numFmtId="217" fontId="3" fillId="0" borderId="0"/>
    <xf numFmtId="170" fontId="15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229" fontId="29" fillId="0" borderId="0" applyFont="0" applyFill="0" applyBorder="0" applyAlignment="0" applyProtection="0"/>
    <xf numFmtId="41" fontId="27" fillId="0" borderId="0" applyFont="0" applyFill="0" applyBorder="0" applyAlignment="0" applyProtection="0"/>
    <xf numFmtId="230" fontId="29" fillId="0" borderId="0" applyFont="0" applyFill="0" applyBorder="0" applyAlignment="0" applyProtection="0"/>
    <xf numFmtId="44" fontId="3" fillId="0" borderId="0" applyFont="0" applyFill="0" applyBorder="0" applyAlignment="0" applyProtection="0"/>
    <xf numFmtId="217" fontId="3" fillId="0" borderId="0"/>
    <xf numFmtId="42" fontId="27" fillId="0" borderId="0" applyFont="0" applyFill="0" applyBorder="0" applyAlignment="0" applyProtection="0"/>
    <xf numFmtId="217" fontId="3" fillId="0" borderId="0"/>
    <xf numFmtId="217" fontId="3" fillId="0" borderId="0"/>
    <xf numFmtId="217" fontId="106" fillId="0" borderId="0"/>
    <xf numFmtId="217" fontId="107" fillId="0" borderId="0"/>
    <xf numFmtId="217" fontId="108" fillId="0" borderId="0">
      <alignment horizontal="center"/>
    </xf>
    <xf numFmtId="217" fontId="109" fillId="0" borderId="3">
      <alignment horizontal="center" vertical="center"/>
    </xf>
    <xf numFmtId="217" fontId="110" fillId="0" borderId="5" applyAlignment="0">
      <alignment horizontal="center" vertical="center" wrapText="1"/>
    </xf>
    <xf numFmtId="217" fontId="111" fillId="0" borderId="5">
      <alignment horizontal="center" vertical="center" wrapText="1"/>
    </xf>
    <xf numFmtId="3" fontId="15" fillId="0" borderId="0"/>
    <xf numFmtId="217" fontId="112" fillId="0" borderId="25"/>
    <xf numFmtId="217" fontId="87" fillId="0" borderId="0"/>
    <xf numFmtId="231" fontId="113" fillId="0" borderId="26">
      <alignment horizontal="right" vertical="center"/>
    </xf>
    <xf numFmtId="232" fontId="8" fillId="0" borderId="26">
      <alignment horizontal="right" vertical="center"/>
    </xf>
    <xf numFmtId="231" fontId="113" fillId="0" borderId="26">
      <alignment horizontal="right" vertical="center"/>
    </xf>
    <xf numFmtId="164" fontId="45" fillId="0" borderId="26">
      <alignment horizontal="right" vertical="center"/>
    </xf>
    <xf numFmtId="231" fontId="113" fillId="0" borderId="26">
      <alignment horizontal="right" vertical="center"/>
    </xf>
    <xf numFmtId="164" fontId="45" fillId="0" borderId="26">
      <alignment horizontal="right" vertical="center"/>
    </xf>
    <xf numFmtId="231" fontId="113" fillId="0" borderId="26">
      <alignment horizontal="right" vertical="center"/>
    </xf>
    <xf numFmtId="233" fontId="91" fillId="0" borderId="26">
      <alignment horizontal="right" vertical="center"/>
    </xf>
    <xf numFmtId="232" fontId="8" fillId="0" borderId="26">
      <alignment horizontal="right" vertical="center"/>
    </xf>
    <xf numFmtId="233" fontId="91" fillId="0" borderId="26">
      <alignment horizontal="right" vertical="center"/>
    </xf>
    <xf numFmtId="164" fontId="45" fillId="0" borderId="26">
      <alignment horizontal="right" vertical="center"/>
    </xf>
    <xf numFmtId="231" fontId="113" fillId="0" borderId="26">
      <alignment horizontal="right" vertical="center"/>
    </xf>
    <xf numFmtId="231" fontId="113" fillId="0" borderId="26">
      <alignment horizontal="right" vertical="center"/>
    </xf>
    <xf numFmtId="234" fontId="113" fillId="0" borderId="26">
      <alignment horizontal="right" vertical="center"/>
    </xf>
    <xf numFmtId="234" fontId="113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1" fontId="113" fillId="0" borderId="26">
      <alignment horizontal="right" vertical="center"/>
    </xf>
    <xf numFmtId="231" fontId="113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1" fontId="113" fillId="0" borderId="26">
      <alignment horizontal="right" vertical="center"/>
    </xf>
    <xf numFmtId="232" fontId="8" fillId="0" borderId="26">
      <alignment horizontal="right" vertical="center"/>
    </xf>
    <xf numFmtId="231" fontId="113" fillId="0" borderId="26">
      <alignment horizontal="right" vertical="center"/>
    </xf>
    <xf numFmtId="234" fontId="113" fillId="0" borderId="26">
      <alignment horizontal="right" vertical="center"/>
    </xf>
    <xf numFmtId="235" fontId="27" fillId="0" borderId="26">
      <alignment horizontal="right" vertical="center"/>
    </xf>
    <xf numFmtId="236" fontId="8" fillId="0" borderId="26">
      <alignment horizontal="right" vertical="center"/>
    </xf>
    <xf numFmtId="236" fontId="8" fillId="0" borderId="26">
      <alignment horizontal="right" vertical="center"/>
    </xf>
    <xf numFmtId="231" fontId="113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4" fontId="113" fillId="0" borderId="26">
      <alignment horizontal="right" vertical="center"/>
    </xf>
    <xf numFmtId="233" fontId="91" fillId="0" borderId="26">
      <alignment horizontal="right" vertical="center"/>
    </xf>
    <xf numFmtId="235" fontId="27" fillId="0" borderId="26">
      <alignment horizontal="right" vertical="center"/>
    </xf>
    <xf numFmtId="236" fontId="8" fillId="0" borderId="26">
      <alignment horizontal="right" vertical="center"/>
    </xf>
    <xf numFmtId="233" fontId="91" fillId="0" borderId="26">
      <alignment horizontal="right" vertical="center"/>
    </xf>
    <xf numFmtId="235" fontId="27" fillId="0" borderId="26">
      <alignment horizontal="right" vertical="center"/>
    </xf>
    <xf numFmtId="231" fontId="113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7" fontId="8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166" fontId="114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2" fontId="8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7" fontId="8" fillId="0" borderId="26">
      <alignment horizontal="right" vertical="center"/>
    </xf>
    <xf numFmtId="231" fontId="113" fillId="0" borderId="26">
      <alignment horizontal="right" vertical="center"/>
    </xf>
    <xf numFmtId="233" fontId="91" fillId="0" borderId="26">
      <alignment horizontal="right" vertical="center"/>
    </xf>
    <xf numFmtId="231" fontId="113" fillId="0" borderId="26">
      <alignment horizontal="right" vertical="center"/>
    </xf>
    <xf numFmtId="232" fontId="8" fillId="0" borderId="26">
      <alignment horizontal="right" vertical="center"/>
    </xf>
    <xf numFmtId="233" fontId="91" fillId="0" borderId="26">
      <alignment horizontal="right" vertical="center"/>
    </xf>
    <xf numFmtId="164" fontId="45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233" fontId="91" fillId="0" borderId="26">
      <alignment horizontal="right" vertical="center"/>
    </xf>
    <xf numFmtId="3" fontId="3" fillId="0" borderId="5" applyNumberFormat="0" applyFont="0" applyFill="0" applyAlignment="0" applyProtection="0">
      <alignment vertical="center"/>
    </xf>
    <xf numFmtId="217" fontId="115" fillId="0" borderId="0">
      <alignment horizontal="center" vertical="center" wrapText="1"/>
    </xf>
    <xf numFmtId="217" fontId="148" fillId="0" borderId="0">
      <alignment horizontal="center" vertical="center" wrapText="1"/>
    </xf>
    <xf numFmtId="49" fontId="5" fillId="0" borderId="0" applyFill="0" applyBorder="0" applyAlignment="0"/>
    <xf numFmtId="238" fontId="3" fillId="0" borderId="0" applyFill="0" applyBorder="0" applyAlignment="0"/>
    <xf numFmtId="239" fontId="3" fillId="0" borderId="0" applyFill="0" applyBorder="0" applyAlignment="0"/>
    <xf numFmtId="240" fontId="113" fillId="0" borderId="26">
      <alignment horizontal="center"/>
    </xf>
    <xf numFmtId="217" fontId="76" fillId="0" borderId="27"/>
    <xf numFmtId="217" fontId="116" fillId="0" borderId="27"/>
    <xf numFmtId="217" fontId="76" fillId="0" borderId="27"/>
    <xf numFmtId="217" fontId="91" fillId="0" borderId="0" applyNumberFormat="0" applyFill="0" applyBorder="0" applyAlignment="0" applyProtection="0"/>
    <xf numFmtId="217" fontId="96" fillId="0" borderId="0" applyNumberFormat="0" applyFill="0" applyBorder="0" applyAlignment="0" applyProtection="0"/>
    <xf numFmtId="217" fontId="117" fillId="0" borderId="0" applyFont="0">
      <alignment horizontal="centerContinuous"/>
    </xf>
    <xf numFmtId="40" fontId="4" fillId="0" borderId="0"/>
    <xf numFmtId="37" fontId="118" fillId="23" borderId="28"/>
    <xf numFmtId="38" fontId="119" fillId="2" borderId="29"/>
    <xf numFmtId="217" fontId="120" fillId="0" borderId="30">
      <alignment horizontal="center"/>
    </xf>
    <xf numFmtId="167" fontId="3" fillId="0" borderId="0" applyFont="0" applyFill="0" applyBorder="0" applyAlignment="0" applyProtection="0"/>
    <xf numFmtId="4" fontId="95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215" fontId="86" fillId="0" borderId="0" applyFont="0" applyFill="0" applyBorder="0" applyAlignment="0" applyProtection="0"/>
    <xf numFmtId="171" fontId="3" fillId="0" borderId="0" applyFont="0" applyFill="0" applyBorder="0" applyAlignment="0" applyProtection="0"/>
    <xf numFmtId="8" fontId="95" fillId="0" borderId="0" applyFont="0" applyFill="0" applyBorder="0" applyAlignment="0" applyProtection="0"/>
    <xf numFmtId="241" fontId="113" fillId="0" borderId="0"/>
    <xf numFmtId="242" fontId="113" fillId="0" borderId="5"/>
    <xf numFmtId="217" fontId="121" fillId="0" borderId="0"/>
    <xf numFmtId="217" fontId="121" fillId="0" borderId="0"/>
    <xf numFmtId="5" fontId="122" fillId="24" borderId="31">
      <alignment vertical="top"/>
    </xf>
    <xf numFmtId="217" fontId="123" fillId="25" borderId="5">
      <alignment horizontal="left" vertical="center"/>
    </xf>
    <xf numFmtId="6" fontId="124" fillId="26" borderId="31"/>
    <xf numFmtId="5" fontId="84" fillId="0" borderId="31">
      <alignment horizontal="left" vertical="top"/>
    </xf>
    <xf numFmtId="217" fontId="125" fillId="27" borderId="0">
      <alignment horizontal="left" vertical="center"/>
    </xf>
    <xf numFmtId="217" fontId="116" fillId="0" borderId="32" applyBorder="0">
      <alignment horizontal="fill"/>
    </xf>
    <xf numFmtId="5" fontId="10" fillId="0" borderId="10">
      <alignment horizontal="left" vertical="top"/>
    </xf>
    <xf numFmtId="217" fontId="126" fillId="0" borderId="10">
      <alignment horizontal="left" vertical="center"/>
    </xf>
    <xf numFmtId="243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42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217" fontId="11" fillId="0" borderId="33"/>
    <xf numFmtId="245" fontId="3" fillId="0" borderId="0" applyFont="0" applyFill="0" applyBorder="0" applyAlignment="0" applyProtection="0"/>
    <xf numFmtId="246" fontId="3" fillId="0" borderId="0" applyFont="0" applyFill="0" applyBorder="0" applyAlignment="0" applyProtection="0"/>
    <xf numFmtId="217" fontId="128" fillId="0" borderId="0" applyNumberFormat="0" applyFill="0" applyBorder="0" applyAlignment="0" applyProtection="0"/>
    <xf numFmtId="167" fontId="8" fillId="0" borderId="0" applyFont="0" applyFill="0" applyBorder="0" applyAlignment="0" applyProtection="0"/>
    <xf numFmtId="9" fontId="131" fillId="0" borderId="0" applyFont="0" applyFill="0" applyBorder="0" applyAlignment="0" applyProtection="0"/>
    <xf numFmtId="245" fontId="3" fillId="0" borderId="0" applyFont="0" applyFill="0" applyBorder="0" applyAlignment="0" applyProtection="0"/>
    <xf numFmtId="247" fontId="11" fillId="0" borderId="0" applyFont="0" applyFill="0" applyBorder="0" applyAlignment="0" applyProtection="0"/>
    <xf numFmtId="248" fontId="3" fillId="0" borderId="0" applyFont="0" applyFill="0" applyBorder="0" applyAlignment="0" applyProtection="0"/>
    <xf numFmtId="246" fontId="3" fillId="0" borderId="0" applyFont="0" applyFill="0" applyBorder="0" applyAlignment="0" applyProtection="0"/>
    <xf numFmtId="217" fontId="132" fillId="0" borderId="0"/>
    <xf numFmtId="217" fontId="133" fillId="0" borderId="0" applyNumberFormat="0" applyFill="0" applyBorder="0" applyAlignment="0" applyProtection="0">
      <alignment vertical="top"/>
      <protection locked="0"/>
    </xf>
    <xf numFmtId="38" fontId="129" fillId="0" borderId="0" applyFont="0" applyFill="0" applyBorder="0" applyAlignment="0" applyProtection="0"/>
    <xf numFmtId="40" fontId="129" fillId="0" borderId="0" applyFont="0" applyFill="0" applyBorder="0" applyAlignment="0" applyProtection="0"/>
    <xf numFmtId="171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217" fontId="130" fillId="0" borderId="0"/>
    <xf numFmtId="172" fontId="11" fillId="0" borderId="0">
      <protection locked="0"/>
    </xf>
    <xf numFmtId="172" fontId="11" fillId="0" borderId="0">
      <protection locked="0"/>
    </xf>
    <xf numFmtId="217" fontId="147" fillId="0" borderId="0" applyFont="0" applyFill="0" applyBorder="0" applyAlignment="0" applyProtection="0"/>
    <xf numFmtId="217" fontId="147" fillId="0" borderId="0" applyFont="0" applyFill="0" applyBorder="0" applyAlignment="0" applyProtection="0"/>
    <xf numFmtId="217" fontId="1" fillId="0" borderId="0">
      <alignment vertical="center"/>
    </xf>
    <xf numFmtId="40" fontId="134" fillId="0" borderId="0" applyFont="0" applyFill="0" applyBorder="0" applyAlignment="0" applyProtection="0"/>
    <xf numFmtId="38" fontId="134" fillId="0" borderId="0" applyFont="0" applyFill="0" applyBorder="0" applyAlignment="0" applyProtection="0"/>
    <xf numFmtId="217" fontId="134" fillId="0" borderId="0" applyFont="0" applyFill="0" applyBorder="0" applyAlignment="0" applyProtection="0"/>
    <xf numFmtId="217" fontId="134" fillId="0" borderId="0" applyFont="0" applyFill="0" applyBorder="0" applyAlignment="0" applyProtection="0"/>
    <xf numFmtId="9" fontId="135" fillId="0" borderId="0" applyFont="0" applyFill="0" applyBorder="0" applyAlignment="0" applyProtection="0"/>
    <xf numFmtId="217" fontId="136" fillId="0" borderId="0"/>
    <xf numFmtId="217" fontId="95" fillId="0" borderId="0"/>
    <xf numFmtId="217" fontId="95" fillId="0" borderId="0"/>
    <xf numFmtId="217" fontId="95" fillId="0" borderId="0"/>
    <xf numFmtId="217" fontId="95" fillId="0" borderId="0"/>
    <xf numFmtId="217" fontId="95" fillId="0" borderId="0"/>
    <xf numFmtId="217" fontId="95" fillId="0" borderId="0"/>
    <xf numFmtId="217" fontId="95" fillId="0" borderId="0"/>
    <xf numFmtId="217" fontId="95" fillId="0" borderId="0"/>
    <xf numFmtId="217" fontId="135" fillId="0" borderId="0" applyFont="0" applyFill="0" applyBorder="0" applyAlignment="0" applyProtection="0"/>
    <xf numFmtId="217" fontId="135" fillId="0" borderId="0" applyFont="0" applyFill="0" applyBorder="0" applyAlignment="0" applyProtection="0"/>
    <xf numFmtId="249" fontId="139" fillId="0" borderId="0" applyFont="0" applyFill="0" applyBorder="0" applyAlignment="0" applyProtection="0"/>
    <xf numFmtId="250" fontId="139" fillId="0" borderId="0" applyFont="0" applyFill="0" applyBorder="0" applyAlignment="0" applyProtection="0"/>
    <xf numFmtId="217" fontId="140" fillId="0" borderId="0"/>
    <xf numFmtId="217" fontId="141" fillId="0" borderId="0"/>
    <xf numFmtId="217" fontId="9" fillId="0" borderId="0"/>
    <xf numFmtId="38" fontId="137" fillId="0" borderId="0" applyFont="0" applyFill="0" applyBorder="0" applyAlignment="0" applyProtection="0"/>
    <xf numFmtId="216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9" fontId="138" fillId="0" borderId="0" applyFont="0" applyFill="0" applyBorder="0" applyAlignment="0" applyProtection="0"/>
    <xf numFmtId="217" fontId="8" fillId="0" borderId="0"/>
    <xf numFmtId="1" fontId="142" fillId="0" borderId="0"/>
    <xf numFmtId="175" fontId="143" fillId="0" borderId="0" applyFont="0" applyFill="0" applyBorder="0" applyAlignment="0" applyProtection="0"/>
    <xf numFmtId="181" fontId="14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217" fontId="3" fillId="0" borderId="0"/>
    <xf numFmtId="9" fontId="9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217" fontId="144" fillId="0" borderId="0" applyNumberFormat="0" applyFill="0" applyBorder="0" applyAlignment="0" applyProtection="0">
      <alignment vertical="top"/>
      <protection locked="0"/>
    </xf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237" fontId="22" fillId="0" borderId="0" applyFont="0" applyFill="0" applyBorder="0" applyAlignment="0" applyProtection="0"/>
    <xf numFmtId="192" fontId="138" fillId="0" borderId="0" applyFont="0" applyFill="0" applyBorder="0" applyAlignment="0" applyProtection="0"/>
    <xf numFmtId="217" fontId="145" fillId="0" borderId="0" applyNumberFormat="0" applyFill="0" applyBorder="0" applyAlignment="0" applyProtection="0">
      <alignment vertical="top"/>
      <protection locked="0"/>
    </xf>
    <xf numFmtId="44" fontId="143" fillId="0" borderId="0" applyFont="0" applyFill="0" applyBorder="0" applyAlignment="0" applyProtection="0"/>
    <xf numFmtId="42" fontId="143" fillId="0" borderId="0" applyFont="0" applyFill="0" applyBorder="0" applyAlignment="0" applyProtection="0"/>
    <xf numFmtId="217" fontId="146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217" fontId="152" fillId="0" borderId="0"/>
    <xf numFmtId="217" fontId="3" fillId="0" borderId="0"/>
    <xf numFmtId="217" fontId="3" fillId="0" borderId="0"/>
    <xf numFmtId="0" fontId="154" fillId="0" borderId="0" applyNumberFormat="0" applyFill="0" applyAlignment="0" applyProtection="0">
      <alignment vertical="center"/>
    </xf>
    <xf numFmtId="0" fontId="153" fillId="0" borderId="0"/>
    <xf numFmtId="0" fontId="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217" fontId="161" fillId="0" borderId="0" applyNumberFormat="0" applyFill="0" applyBorder="0" applyAlignment="0" applyProtection="0"/>
    <xf numFmtId="43" fontId="162" fillId="0" borderId="0" applyFont="0" applyFill="0" applyBorder="0" applyAlignment="0" applyProtection="0"/>
  </cellStyleXfs>
  <cellXfs count="121">
    <xf numFmtId="217" fontId="0" fillId="0" borderId="0" xfId="0"/>
    <xf numFmtId="217" fontId="155" fillId="0" borderId="0" xfId="0" applyFont="1" applyProtection="1">
      <protection locked="0"/>
    </xf>
    <xf numFmtId="0" fontId="156" fillId="0" borderId="5" xfId="0" applyNumberFormat="1" applyFont="1" applyBorder="1" applyAlignment="1" applyProtection="1">
      <alignment horizontal="center" vertical="top" wrapText="1"/>
      <protection locked="0"/>
    </xf>
    <xf numFmtId="0" fontId="155" fillId="0" borderId="37" xfId="0" applyNumberFormat="1" applyFont="1" applyBorder="1" applyAlignment="1" applyProtection="1">
      <alignment vertical="center" wrapText="1"/>
      <protection locked="0"/>
    </xf>
    <xf numFmtId="0" fontId="151" fillId="0" borderId="5" xfId="815" applyNumberFormat="1" applyFont="1" applyBorder="1" applyAlignment="1" applyProtection="1">
      <alignment horizontal="center" vertical="center" wrapText="1"/>
      <protection locked="0"/>
    </xf>
    <xf numFmtId="0" fontId="159" fillId="28" borderId="5" xfId="819" applyNumberFormat="1" applyFont="1" applyFill="1" applyBorder="1" applyAlignment="1" applyProtection="1">
      <alignment horizontal="center" vertical="center"/>
      <protection locked="0"/>
    </xf>
    <xf numFmtId="0" fontId="160" fillId="30" borderId="5" xfId="826" quotePrefix="1" applyNumberFormat="1" applyFont="1" applyFill="1" applyBorder="1" applyAlignment="1" applyProtection="1">
      <alignment horizontal="center" vertical="center"/>
      <protection locked="0"/>
    </xf>
    <xf numFmtId="0" fontId="160" fillId="30" borderId="5" xfId="826" applyNumberFormat="1" applyFont="1" applyFill="1" applyBorder="1" applyAlignment="1" applyProtection="1">
      <alignment horizontal="left" vertical="center"/>
      <protection locked="0"/>
    </xf>
    <xf numFmtId="0" fontId="155" fillId="30" borderId="5" xfId="815" applyNumberFormat="1" applyFont="1" applyFill="1" applyBorder="1" applyAlignment="1" applyProtection="1">
      <alignment horizontal="left" vertical="center" wrapText="1"/>
      <protection locked="0"/>
    </xf>
    <xf numFmtId="0" fontId="160" fillId="30" borderId="5" xfId="819" applyNumberFormat="1" applyFont="1" applyFill="1" applyBorder="1" applyAlignment="1" applyProtection="1">
      <alignment horizontal="center" vertical="center"/>
      <protection locked="0"/>
    </xf>
    <xf numFmtId="0" fontId="160" fillId="30" borderId="5" xfId="819" quotePrefix="1" applyNumberFormat="1" applyFont="1" applyFill="1" applyBorder="1" applyAlignment="1" applyProtection="1">
      <alignment horizontal="center" vertical="center"/>
      <protection locked="0"/>
    </xf>
    <xf numFmtId="0" fontId="160" fillId="30" borderId="5" xfId="819" applyNumberFormat="1" applyFont="1" applyFill="1" applyBorder="1" applyAlignment="1" applyProtection="1">
      <alignment horizontal="left" vertical="center"/>
      <protection locked="0"/>
    </xf>
    <xf numFmtId="0" fontId="160" fillId="30" borderId="5" xfId="815" applyNumberFormat="1" applyFont="1" applyFill="1" applyBorder="1" applyAlignment="1" applyProtection="1">
      <alignment vertical="center" wrapText="1"/>
      <protection locked="0"/>
    </xf>
    <xf numFmtId="0" fontId="155" fillId="30" borderId="5" xfId="815" applyNumberFormat="1" applyFont="1" applyFill="1" applyBorder="1" applyAlignment="1" applyProtection="1">
      <alignment horizontal="center" vertical="center" wrapText="1"/>
      <protection locked="0"/>
    </xf>
    <xf numFmtId="0" fontId="160" fillId="30" borderId="5" xfId="826" applyNumberFormat="1" applyFont="1" applyFill="1" applyBorder="1" applyAlignment="1" applyProtection="1">
      <alignment horizontal="center" vertical="center"/>
      <protection locked="0"/>
    </xf>
    <xf numFmtId="217" fontId="155" fillId="30" borderId="5" xfId="815" applyFont="1" applyFill="1" applyBorder="1" applyAlignment="1" applyProtection="1">
      <alignment horizontal="left" vertical="center" wrapText="1"/>
      <protection locked="0"/>
    </xf>
    <xf numFmtId="0" fontId="160" fillId="30" borderId="5" xfId="817" quotePrefix="1" applyNumberFormat="1" applyFont="1" applyFill="1" applyBorder="1" applyAlignment="1" applyProtection="1">
      <alignment horizontal="center" vertical="center" wrapText="1"/>
      <protection locked="0"/>
    </xf>
    <xf numFmtId="0" fontId="160" fillId="30" borderId="5" xfId="817" applyNumberFormat="1" applyFont="1" applyFill="1" applyBorder="1" applyAlignment="1" applyProtection="1">
      <alignment horizontal="center" vertical="center" wrapText="1"/>
      <protection locked="0"/>
    </xf>
    <xf numFmtId="0" fontId="160" fillId="30" borderId="5" xfId="819" applyNumberFormat="1" applyFont="1" applyFill="1" applyBorder="1" applyAlignment="1" applyProtection="1">
      <alignment vertical="center"/>
      <protection locked="0"/>
    </xf>
    <xf numFmtId="217" fontId="160" fillId="0" borderId="0" xfId="0" applyFont="1" applyProtection="1">
      <protection locked="0"/>
    </xf>
    <xf numFmtId="0" fontId="160" fillId="0" borderId="5" xfId="826" quotePrefix="1" applyNumberFormat="1" applyFont="1" applyBorder="1" applyAlignment="1" applyProtection="1">
      <alignment horizontal="center" vertical="center"/>
      <protection locked="0"/>
    </xf>
    <xf numFmtId="0" fontId="160" fillId="0" borderId="26" xfId="1174" applyFont="1" applyBorder="1" applyAlignment="1">
      <alignment horizontal="left" vertical="center"/>
    </xf>
    <xf numFmtId="0" fontId="160" fillId="0" borderId="5" xfId="1174" applyFont="1" applyBorder="1" applyAlignment="1">
      <alignment horizontal="left" vertical="center"/>
    </xf>
    <xf numFmtId="0" fontId="160" fillId="0" borderId="5" xfId="1174" applyFont="1" applyBorder="1" applyAlignment="1">
      <alignment horizontal="center" vertical="center"/>
    </xf>
    <xf numFmtId="0" fontId="160" fillId="0" borderId="5" xfId="1173" applyFont="1" applyBorder="1" applyAlignment="1" applyProtection="1">
      <alignment horizontal="center" vertical="center"/>
      <protection locked="0"/>
    </xf>
    <xf numFmtId="0" fontId="160" fillId="0" borderId="5" xfId="819" quotePrefix="1" applyNumberFormat="1" applyFont="1" applyBorder="1" applyAlignment="1" applyProtection="1">
      <alignment horizontal="center" vertical="center"/>
      <protection locked="0"/>
    </xf>
    <xf numFmtId="0" fontId="160" fillId="0" borderId="5" xfId="819" applyNumberFormat="1" applyFont="1" applyBorder="1" applyAlignment="1" applyProtection="1">
      <alignment horizontal="center" vertical="center"/>
      <protection locked="0"/>
    </xf>
    <xf numFmtId="0" fontId="155" fillId="0" borderId="0" xfId="0" applyNumberFormat="1" applyFont="1" applyProtection="1">
      <protection locked="0"/>
    </xf>
    <xf numFmtId="0" fontId="160" fillId="0" borderId="5" xfId="1174" applyFont="1" applyBorder="1" applyAlignment="1">
      <alignment horizontal="left" vertical="center" wrapText="1"/>
    </xf>
    <xf numFmtId="0" fontId="161" fillId="0" borderId="0" xfId="1180" applyNumberFormat="1" applyProtection="1">
      <protection locked="0"/>
    </xf>
    <xf numFmtId="0" fontId="160" fillId="0" borderId="26" xfId="1173" applyFont="1" applyBorder="1" applyAlignment="1" applyProtection="1">
      <alignment horizontal="left" vertical="center" wrapText="1"/>
      <protection locked="0"/>
    </xf>
    <xf numFmtId="0" fontId="160" fillId="0" borderId="5" xfId="1174" quotePrefix="1" applyFont="1" applyBorder="1" applyAlignment="1">
      <alignment horizontal="left" vertical="center"/>
    </xf>
    <xf numFmtId="0" fontId="160" fillId="0" borderId="5" xfId="1173" applyFont="1" applyBorder="1" applyAlignment="1" applyProtection="1">
      <alignment horizontal="center" vertical="center" wrapText="1"/>
      <protection locked="0"/>
    </xf>
    <xf numFmtId="0" fontId="160" fillId="31" borderId="26" xfId="1174" applyFont="1" applyFill="1" applyBorder="1" applyAlignment="1">
      <alignment horizontal="left" vertical="center"/>
    </xf>
    <xf numFmtId="0" fontId="160" fillId="31" borderId="5" xfId="1174" applyFont="1" applyFill="1" applyBorder="1" applyAlignment="1">
      <alignment horizontal="left" vertical="center" wrapText="1"/>
    </xf>
    <xf numFmtId="0" fontId="160" fillId="31" borderId="5" xfId="1174" applyFont="1" applyFill="1" applyBorder="1" applyAlignment="1">
      <alignment horizontal="center" vertical="center"/>
    </xf>
    <xf numFmtId="0" fontId="160" fillId="31" borderId="5" xfId="1173" applyFont="1" applyFill="1" applyBorder="1" applyAlignment="1" applyProtection="1">
      <alignment horizontal="center" vertical="center" wrapText="1"/>
      <protection locked="0"/>
    </xf>
    <xf numFmtId="0" fontId="160" fillId="31" borderId="5" xfId="819" quotePrefix="1" applyNumberFormat="1" applyFont="1" applyFill="1" applyBorder="1" applyAlignment="1" applyProtection="1">
      <alignment horizontal="center" vertical="center"/>
      <protection locked="0"/>
    </xf>
    <xf numFmtId="0" fontId="160" fillId="31" borderId="5" xfId="819" applyNumberFormat="1" applyFont="1" applyFill="1" applyBorder="1" applyAlignment="1" applyProtection="1">
      <alignment horizontal="center" vertical="center"/>
      <protection locked="0"/>
    </xf>
    <xf numFmtId="0" fontId="160" fillId="0" borderId="26" xfId="1173" applyFont="1" applyBorder="1" applyAlignment="1" applyProtection="1">
      <alignment horizontal="center" vertical="center" wrapText="1"/>
      <protection locked="0"/>
    </xf>
    <xf numFmtId="37" fontId="155" fillId="0" borderId="0" xfId="1181" applyNumberFormat="1" applyFont="1" applyProtection="1">
      <protection locked="0"/>
    </xf>
    <xf numFmtId="37" fontId="155" fillId="31" borderId="0" xfId="0" applyNumberFormat="1" applyFont="1" applyFill="1" applyProtection="1">
      <protection locked="0"/>
    </xf>
    <xf numFmtId="37" fontId="155" fillId="0" borderId="0" xfId="1181" applyNumberFormat="1" applyFont="1" applyAlignment="1" applyProtection="1">
      <alignment horizontal="center" vertical="center"/>
      <protection locked="0"/>
    </xf>
    <xf numFmtId="217" fontId="155" fillId="0" borderId="0" xfId="0" applyFont="1" applyAlignment="1" applyProtection="1">
      <alignment horizontal="center"/>
      <protection locked="0"/>
    </xf>
    <xf numFmtId="37" fontId="155" fillId="31" borderId="0" xfId="0" applyNumberFormat="1" applyFont="1" applyFill="1" applyAlignment="1" applyProtection="1">
      <alignment horizontal="center"/>
      <protection locked="0"/>
    </xf>
    <xf numFmtId="37" fontId="155" fillId="0" borderId="0" xfId="0" applyNumberFormat="1" applyFont="1" applyProtection="1">
      <protection locked="0"/>
    </xf>
    <xf numFmtId="217" fontId="155" fillId="0" borderId="5" xfId="0" applyFont="1" applyBorder="1" applyProtection="1">
      <protection locked="0"/>
    </xf>
    <xf numFmtId="251" fontId="155" fillId="0" borderId="5" xfId="0" applyNumberFormat="1" applyFont="1" applyBorder="1" applyAlignment="1" applyProtection="1">
      <alignment horizontal="center" vertical="center"/>
      <protection locked="0"/>
    </xf>
    <xf numFmtId="37" fontId="155" fillId="0" borderId="5" xfId="1181" applyNumberFormat="1" applyFont="1" applyBorder="1" applyAlignment="1" applyProtection="1">
      <alignment horizontal="center" vertical="center"/>
      <protection locked="0"/>
    </xf>
    <xf numFmtId="217" fontId="155" fillId="0" borderId="5" xfId="0" applyFont="1" applyBorder="1" applyAlignment="1" applyProtection="1">
      <alignment horizontal="center" vertical="center"/>
      <protection locked="0"/>
    </xf>
    <xf numFmtId="37" fontId="155" fillId="0" borderId="5" xfId="0" applyNumberFormat="1" applyFont="1" applyBorder="1" applyAlignment="1" applyProtection="1">
      <alignment horizontal="center" vertical="center"/>
      <protection locked="0"/>
    </xf>
    <xf numFmtId="37" fontId="155" fillId="29" borderId="5" xfId="0" applyNumberFormat="1" applyFont="1" applyFill="1" applyBorder="1" applyAlignment="1" applyProtection="1">
      <alignment horizontal="center" vertical="center"/>
      <protection locked="0"/>
    </xf>
    <xf numFmtId="217" fontId="155" fillId="29" borderId="5" xfId="0" applyFont="1" applyFill="1" applyBorder="1" applyProtection="1">
      <protection locked="0"/>
    </xf>
    <xf numFmtId="217" fontId="160" fillId="0" borderId="5" xfId="0" applyFont="1" applyBorder="1" applyAlignment="1">
      <alignment horizontal="left" vertical="center"/>
    </xf>
    <xf numFmtId="217" fontId="160" fillId="0" borderId="5" xfId="0" applyFont="1" applyBorder="1" applyAlignment="1">
      <alignment horizontal="center" vertical="center" wrapText="1"/>
    </xf>
    <xf numFmtId="0" fontId="160" fillId="0" borderId="5" xfId="819" applyNumberFormat="1" applyFont="1" applyBorder="1" applyAlignment="1" applyProtection="1">
      <alignment horizontal="left" vertical="center" wrapText="1"/>
      <protection locked="0"/>
    </xf>
    <xf numFmtId="217" fontId="160" fillId="0" borderId="26" xfId="0" applyFont="1" applyBorder="1" applyAlignment="1">
      <alignment horizontal="left" vertical="center"/>
    </xf>
    <xf numFmtId="0" fontId="160" fillId="0" borderId="26" xfId="1179" applyFont="1" applyBorder="1" applyAlignment="1">
      <alignment horizontal="left" vertical="center"/>
    </xf>
    <xf numFmtId="0" fontId="159" fillId="28" borderId="15" xfId="819" applyNumberFormat="1" applyFont="1" applyFill="1" applyBorder="1" applyAlignment="1" applyProtection="1">
      <alignment vertical="center"/>
      <protection locked="0"/>
    </xf>
    <xf numFmtId="0" fontId="159" fillId="28" borderId="32" xfId="819" applyNumberFormat="1" applyFont="1" applyFill="1" applyBorder="1" applyAlignment="1" applyProtection="1">
      <alignment vertical="center"/>
      <protection locked="0"/>
    </xf>
    <xf numFmtId="0" fontId="159" fillId="28" borderId="5" xfId="819" applyNumberFormat="1" applyFont="1" applyFill="1" applyBorder="1" applyAlignment="1" applyProtection="1">
      <alignment vertical="center"/>
      <protection locked="0"/>
    </xf>
    <xf numFmtId="0" fontId="160" fillId="0" borderId="5" xfId="1173" applyFont="1" applyBorder="1" applyAlignment="1" applyProtection="1">
      <alignment horizontal="left" vertical="center" wrapText="1"/>
      <protection locked="0"/>
    </xf>
    <xf numFmtId="0" fontId="160" fillId="0" borderId="5" xfId="1173" applyFont="1" applyBorder="1" applyAlignment="1" applyProtection="1">
      <alignment horizontal="left" vertical="center"/>
      <protection locked="0"/>
    </xf>
    <xf numFmtId="0" fontId="155" fillId="0" borderId="5" xfId="826" quotePrefix="1" applyNumberFormat="1" applyFont="1" applyBorder="1" applyAlignment="1" applyProtection="1">
      <alignment horizontal="center" vertical="center"/>
      <protection locked="0"/>
    </xf>
    <xf numFmtId="0" fontId="155" fillId="0" borderId="26" xfId="1176" applyFont="1" applyBorder="1" applyAlignment="1">
      <alignment horizontal="left" vertical="center"/>
    </xf>
    <xf numFmtId="0" fontId="155" fillId="0" borderId="5" xfId="1176" quotePrefix="1" applyFont="1" applyBorder="1" applyAlignment="1">
      <alignment horizontal="left" vertical="center" wrapText="1"/>
    </xf>
    <xf numFmtId="0" fontId="155" fillId="0" borderId="5" xfId="1176" applyFont="1" applyBorder="1" applyAlignment="1">
      <alignment horizontal="center" vertical="center"/>
    </xf>
    <xf numFmtId="0" fontId="155" fillId="0" borderId="26" xfId="1173" quotePrefix="1" applyFont="1" applyBorder="1" applyAlignment="1" applyProtection="1">
      <alignment horizontal="left" vertical="center" wrapText="1"/>
      <protection locked="0"/>
    </xf>
    <xf numFmtId="0" fontId="155" fillId="0" borderId="5" xfId="819" quotePrefix="1" applyNumberFormat="1" applyFont="1" applyBorder="1" applyAlignment="1" applyProtection="1">
      <alignment horizontal="center" vertical="center"/>
      <protection locked="0"/>
    </xf>
    <xf numFmtId="0" fontId="155" fillId="0" borderId="5" xfId="1173" applyFont="1" applyBorder="1" applyAlignment="1" applyProtection="1">
      <alignment horizontal="center" vertical="center"/>
      <protection locked="0"/>
    </xf>
    <xf numFmtId="0" fontId="160" fillId="0" borderId="26" xfId="1176" applyFont="1" applyBorder="1" applyAlignment="1">
      <alignment horizontal="left" vertical="center"/>
    </xf>
    <xf numFmtId="0" fontId="160" fillId="0" borderId="5" xfId="1176" quotePrefix="1" applyFont="1" applyBorder="1" applyAlignment="1">
      <alignment horizontal="left" vertical="center" wrapText="1"/>
    </xf>
    <xf numFmtId="0" fontId="160" fillId="0" borderId="5" xfId="1176" applyFont="1" applyBorder="1" applyAlignment="1">
      <alignment horizontal="center" vertical="center"/>
    </xf>
    <xf numFmtId="0" fontId="155" fillId="0" borderId="26" xfId="1177" applyFont="1" applyBorder="1" applyAlignment="1">
      <alignment horizontal="left" vertical="center"/>
    </xf>
    <xf numFmtId="0" fontId="155" fillId="0" borderId="5" xfId="1177" applyFont="1" applyBorder="1" applyAlignment="1">
      <alignment horizontal="left" vertical="center"/>
    </xf>
    <xf numFmtId="0" fontId="155" fillId="0" borderId="5" xfId="1177" applyFont="1" applyBorder="1" applyAlignment="1">
      <alignment horizontal="center" vertical="center"/>
    </xf>
    <xf numFmtId="0" fontId="155" fillId="0" borderId="26" xfId="1173" applyFont="1" applyBorder="1" applyAlignment="1" applyProtection="1">
      <alignment horizontal="left" vertical="center"/>
      <protection locked="0"/>
    </xf>
    <xf numFmtId="0" fontId="155" fillId="0" borderId="5" xfId="0" applyNumberFormat="1" applyFont="1" applyBorder="1" applyAlignment="1" applyProtection="1">
      <alignment horizontal="left" vertical="center" wrapText="1"/>
      <protection locked="0"/>
    </xf>
    <xf numFmtId="0" fontId="160" fillId="0" borderId="26" xfId="1173" applyFont="1" applyBorder="1" applyAlignment="1" applyProtection="1">
      <alignment horizontal="left" vertical="center"/>
      <protection locked="0"/>
    </xf>
    <xf numFmtId="217" fontId="160" fillId="0" borderId="32" xfId="0" applyFont="1" applyBorder="1" applyAlignment="1">
      <alignment horizontal="left" vertical="center"/>
    </xf>
    <xf numFmtId="217" fontId="160" fillId="0" borderId="5" xfId="0" applyFont="1" applyBorder="1" applyAlignment="1">
      <alignment horizontal="center" vertical="center"/>
    </xf>
    <xf numFmtId="0" fontId="160" fillId="0" borderId="5" xfId="819" applyNumberFormat="1" applyFont="1" applyBorder="1" applyAlignment="1" applyProtection="1">
      <alignment horizontal="left" vertical="center"/>
      <protection locked="0"/>
    </xf>
    <xf numFmtId="0" fontId="160" fillId="0" borderId="5" xfId="819" applyNumberFormat="1" applyFont="1" applyBorder="1" applyAlignment="1" applyProtection="1">
      <alignment horizontal="center" vertical="center" wrapText="1"/>
      <protection locked="0"/>
    </xf>
    <xf numFmtId="217" fontId="155" fillId="0" borderId="26" xfId="0" applyFont="1" applyBorder="1" applyAlignment="1">
      <alignment horizontal="left" vertical="center"/>
    </xf>
    <xf numFmtId="217" fontId="160" fillId="0" borderId="37" xfId="0" applyFont="1" applyBorder="1" applyAlignment="1">
      <alignment horizontal="left" vertical="center" wrapText="1"/>
    </xf>
    <xf numFmtId="217" fontId="160" fillId="0" borderId="4" xfId="0" applyFont="1" applyBorder="1" applyAlignment="1">
      <alignment horizontal="left" vertical="center"/>
    </xf>
    <xf numFmtId="217" fontId="160" fillId="0" borderId="4" xfId="0" applyFont="1" applyBorder="1" applyAlignment="1">
      <alignment horizontal="center" vertical="center" wrapText="1"/>
    </xf>
    <xf numFmtId="0" fontId="160" fillId="0" borderId="4" xfId="819" quotePrefix="1" applyNumberFormat="1" applyFont="1" applyBorder="1" applyAlignment="1" applyProtection="1">
      <alignment horizontal="center" vertical="center"/>
      <protection locked="0"/>
    </xf>
    <xf numFmtId="0" fontId="160" fillId="0" borderId="4" xfId="819" applyNumberFormat="1" applyFont="1" applyBorder="1" applyAlignment="1" applyProtection="1">
      <alignment horizontal="center" vertical="center"/>
      <protection locked="0"/>
    </xf>
    <xf numFmtId="0" fontId="159" fillId="28" borderId="5" xfId="819" applyNumberFormat="1" applyFont="1" applyFill="1" applyBorder="1" applyAlignment="1" applyProtection="1">
      <alignment horizontal="left" vertical="center"/>
      <protection locked="0"/>
    </xf>
    <xf numFmtId="0" fontId="155" fillId="0" borderId="5" xfId="815" applyNumberFormat="1" applyFont="1" applyBorder="1" applyAlignment="1" applyProtection="1">
      <alignment horizontal="center" vertical="center" wrapText="1"/>
      <protection locked="0"/>
    </xf>
    <xf numFmtId="0" fontId="155" fillId="0" borderId="35" xfId="0" applyNumberFormat="1" applyFont="1" applyBorder="1" applyAlignment="1" applyProtection="1">
      <alignment horizontal="left" wrapText="1"/>
      <protection locked="0"/>
    </xf>
    <xf numFmtId="0" fontId="155" fillId="0" borderId="4" xfId="0" applyNumberFormat="1" applyFont="1" applyBorder="1" applyAlignment="1" applyProtection="1">
      <alignment horizontal="left" wrapText="1"/>
      <protection locked="0"/>
    </xf>
    <xf numFmtId="0" fontId="155" fillId="0" borderId="36" xfId="0" applyNumberFormat="1" applyFont="1" applyBorder="1" applyAlignment="1" applyProtection="1">
      <alignment horizontal="left" wrapText="1"/>
      <protection locked="0"/>
    </xf>
    <xf numFmtId="0" fontId="155" fillId="0" borderId="47" xfId="0" applyNumberFormat="1" applyFont="1" applyBorder="1" applyAlignment="1" applyProtection="1">
      <alignment horizontal="center" vertical="center"/>
      <protection locked="0"/>
    </xf>
    <xf numFmtId="0" fontId="155" fillId="0" borderId="17" xfId="0" applyNumberFormat="1" applyFont="1" applyBorder="1" applyAlignment="1" applyProtection="1">
      <alignment horizontal="center" vertical="center"/>
      <protection locked="0"/>
    </xf>
    <xf numFmtId="0" fontId="155" fillId="0" borderId="34" xfId="0" applyNumberFormat="1" applyFont="1" applyBorder="1" applyAlignment="1" applyProtection="1">
      <alignment horizontal="left" vertical="center"/>
      <protection locked="0"/>
    </xf>
    <xf numFmtId="0" fontId="155" fillId="0" borderId="39" xfId="0" applyNumberFormat="1" applyFont="1" applyBorder="1" applyAlignment="1" applyProtection="1">
      <alignment horizontal="left" vertical="center"/>
      <protection locked="0"/>
    </xf>
    <xf numFmtId="0" fontId="155" fillId="0" borderId="17" xfId="0" applyNumberFormat="1" applyFont="1" applyBorder="1" applyAlignment="1" applyProtection="1">
      <alignment horizontal="left" vertical="center"/>
      <protection locked="0"/>
    </xf>
    <xf numFmtId="0" fontId="155" fillId="0" borderId="48" xfId="0" applyNumberFormat="1" applyFont="1" applyBorder="1" applyAlignment="1" applyProtection="1">
      <alignment horizontal="left" vertical="center"/>
      <protection locked="0"/>
    </xf>
    <xf numFmtId="0" fontId="155" fillId="0" borderId="46" xfId="0" applyNumberFormat="1" applyFont="1" applyBorder="1" applyAlignment="1" applyProtection="1">
      <alignment horizontal="left" vertical="top" wrapText="1"/>
      <protection locked="0"/>
    </xf>
    <xf numFmtId="0" fontId="155" fillId="0" borderId="31" xfId="0" applyNumberFormat="1" applyFont="1" applyBorder="1" applyAlignment="1" applyProtection="1">
      <alignment horizontal="left" vertical="top" wrapText="1"/>
      <protection locked="0"/>
    </xf>
    <xf numFmtId="0" fontId="156" fillId="0" borderId="31" xfId="0" applyNumberFormat="1" applyFont="1" applyBorder="1" applyAlignment="1" applyProtection="1">
      <alignment horizontal="left" vertical="top" wrapText="1"/>
      <protection locked="0"/>
    </xf>
    <xf numFmtId="0" fontId="156" fillId="0" borderId="38" xfId="0" applyNumberFormat="1" applyFont="1" applyBorder="1" applyAlignment="1" applyProtection="1">
      <alignment horizontal="left" vertical="top" wrapText="1"/>
      <protection locked="0"/>
    </xf>
    <xf numFmtId="0" fontId="151" fillId="0" borderId="40" xfId="0" applyNumberFormat="1" applyFont="1" applyBorder="1" applyProtection="1">
      <protection locked="0"/>
    </xf>
    <xf numFmtId="0" fontId="151" fillId="0" borderId="41" xfId="0" applyNumberFormat="1" applyFont="1" applyBorder="1" applyProtection="1">
      <protection locked="0"/>
    </xf>
    <xf numFmtId="0" fontId="151" fillId="0" borderId="43" xfId="0" applyNumberFormat="1" applyFont="1" applyBorder="1" applyProtection="1">
      <protection locked="0"/>
    </xf>
    <xf numFmtId="0" fontId="151" fillId="0" borderId="32" xfId="0" applyNumberFormat="1" applyFont="1" applyBorder="1" applyProtection="1">
      <protection locked="0"/>
    </xf>
    <xf numFmtId="0" fontId="151" fillId="0" borderId="42" xfId="0" applyNumberFormat="1" applyFont="1" applyBorder="1" applyAlignment="1" applyProtection="1">
      <alignment horizontal="center" vertical="center" wrapText="1"/>
      <protection locked="0"/>
    </xf>
    <xf numFmtId="0" fontId="155" fillId="0" borderId="12" xfId="0" applyNumberFormat="1" applyFont="1" applyBorder="1" applyAlignment="1" applyProtection="1">
      <alignment horizontal="right" vertical="top" wrapText="1"/>
      <protection locked="0"/>
    </xf>
    <xf numFmtId="0" fontId="155" fillId="0" borderId="44" xfId="0" applyNumberFormat="1" applyFont="1" applyBorder="1" applyAlignment="1" applyProtection="1">
      <alignment horizontal="right" vertical="top" wrapText="1"/>
      <protection locked="0"/>
    </xf>
    <xf numFmtId="0" fontId="156" fillId="0" borderId="5" xfId="0" applyNumberFormat="1" applyFont="1" applyBorder="1" applyAlignment="1" applyProtection="1">
      <alignment vertical="center" wrapText="1"/>
      <protection locked="0"/>
    </xf>
    <xf numFmtId="0" fontId="156" fillId="0" borderId="26" xfId="0" applyNumberFormat="1" applyFont="1" applyBorder="1" applyAlignment="1" applyProtection="1">
      <alignment vertical="center" wrapText="1"/>
      <protection locked="0"/>
    </xf>
    <xf numFmtId="0" fontId="155" fillId="0" borderId="3" xfId="0" applyNumberFormat="1" applyFont="1" applyBorder="1" applyAlignment="1" applyProtection="1">
      <alignment horizontal="right" vertical="center" wrapText="1"/>
      <protection locked="0"/>
    </xf>
    <xf numFmtId="0" fontId="155" fillId="0" borderId="45" xfId="0" applyNumberFormat="1" applyFont="1" applyBorder="1" applyAlignment="1" applyProtection="1">
      <alignment horizontal="right" vertical="center" wrapText="1"/>
      <protection locked="0"/>
    </xf>
    <xf numFmtId="0" fontId="159" fillId="28" borderId="26" xfId="819" applyNumberFormat="1" applyFont="1" applyFill="1" applyBorder="1" applyAlignment="1" applyProtection="1">
      <alignment horizontal="left" vertical="center"/>
      <protection locked="0"/>
    </xf>
    <xf numFmtId="0" fontId="159" fillId="28" borderId="15" xfId="819" applyNumberFormat="1" applyFont="1" applyFill="1" applyBorder="1" applyAlignment="1" applyProtection="1">
      <alignment horizontal="left" vertical="center"/>
      <protection locked="0"/>
    </xf>
    <xf numFmtId="0" fontId="159" fillId="28" borderId="32" xfId="819" applyNumberFormat="1" applyFont="1" applyFill="1" applyBorder="1" applyAlignment="1" applyProtection="1">
      <alignment horizontal="left" vertical="center"/>
      <protection locked="0"/>
    </xf>
    <xf numFmtId="0" fontId="155" fillId="0" borderId="47" xfId="0" applyNumberFormat="1" applyFont="1" applyBorder="1" applyAlignment="1" applyProtection="1">
      <alignment horizontal="left" vertical="center"/>
      <protection locked="0"/>
    </xf>
    <xf numFmtId="0" fontId="151" fillId="0" borderId="49" xfId="0" applyNumberFormat="1" applyFont="1" applyBorder="1" applyAlignment="1" applyProtection="1">
      <alignment horizontal="center" vertical="center" wrapText="1"/>
      <protection locked="0"/>
    </xf>
    <xf numFmtId="37" fontId="155" fillId="0" borderId="0" xfId="1181" applyNumberFormat="1" applyFont="1" applyAlignment="1" applyProtection="1">
      <alignment horizontal="center" vertical="center"/>
      <protection locked="0"/>
    </xf>
  </cellXfs>
  <cellStyles count="1182">
    <cellStyle name="_x0001_" xfId="1" xr:uid="{00000000-0005-0000-0000-000000000000}"/>
    <cellStyle name="_x000e__x0010_" xfId="2" xr:uid="{00000000-0005-0000-0000-000001000000}"/>
    <cellStyle name="_x0014_" xfId="3" xr:uid="{00000000-0005-0000-0000-000002000000}"/>
    <cellStyle name=" " xfId="4" xr:uid="{00000000-0005-0000-0000-000003000000}"/>
    <cellStyle name="          _x000d__x000a_shell=progman.exe_x000d__x000a_m" xfId="5" xr:uid="{00000000-0005-0000-0000-000004000000}"/>
    <cellStyle name="_x000a__x000c_" xfId="6" xr:uid="{00000000-0005-0000-0000-000005000000}"/>
    <cellStyle name="_x000c__x000a_ဠ" xfId="7" xr:uid="{00000000-0005-0000-0000-000006000000}"/>
    <cellStyle name="." xfId="8" xr:uid="{00000000-0005-0000-0000-000007000000}"/>
    <cellStyle name="??" xfId="9" xr:uid="{00000000-0005-0000-0000-000008000000}"/>
    <cellStyle name="?? [0.00]_ Att. 1- Cover" xfId="10" xr:uid="{00000000-0005-0000-0000-000009000000}"/>
    <cellStyle name="?? [0]" xfId="11" xr:uid="{00000000-0005-0000-0000-00000A000000}"/>
    <cellStyle name="?_x001d_??%U©÷u&amp;H©÷9_x0008_? s_x000a__x0007__x0001__x0001_" xfId="12" xr:uid="{00000000-0005-0000-0000-00000B000000}"/>
    <cellStyle name="?_x001d_??%U©÷u&amp;H©÷9_x0008_?_x0009_s_x000a__x0007__x0001__x0001_" xfId="13" xr:uid="{00000000-0005-0000-0000-00000C000000}"/>
    <cellStyle name="???? [0.00]_List-dwg" xfId="14" xr:uid="{00000000-0005-0000-0000-00000D000000}"/>
    <cellStyle name="??????" xfId="15" xr:uid="{00000000-0005-0000-0000-00000E000000}"/>
    <cellStyle name="????????????DEC.4,97)-1_" xfId="16" xr:uid="{00000000-0005-0000-0000-00000F000000}"/>
    <cellStyle name="????????????DEC.4,97)-1a" xfId="17" xr:uid="{00000000-0005-0000-0000-000010000000}"/>
    <cellStyle name="???????fcv1(DE" xfId="18" xr:uid="{00000000-0005-0000-0000-000011000000}"/>
    <cellStyle name="????_Add and Red2" xfId="19" xr:uid="{00000000-0005-0000-0000-000012000000}"/>
    <cellStyle name="???[0]_?? DI" xfId="20" xr:uid="{00000000-0005-0000-0000-000013000000}"/>
    <cellStyle name="???_?? DI" xfId="21" xr:uid="{00000000-0005-0000-0000-000014000000}"/>
    <cellStyle name="??[0]_BRE" xfId="22" xr:uid="{00000000-0005-0000-0000-000015000000}"/>
    <cellStyle name="??_ ??? ???? " xfId="23" xr:uid="{00000000-0005-0000-0000-000016000000}"/>
    <cellStyle name="??·?`??" xfId="24" xr:uid="{00000000-0005-0000-0000-000017000000}"/>
    <cellStyle name="????`?" xfId="25" xr:uid="{00000000-0005-0000-0000-000018000000}"/>
    <cellStyle name="??e?`?f" xfId="26" xr:uid="{00000000-0005-0000-0000-000019000000}"/>
    <cellStyle name="??A? [0]_ÿÿÿÿÿÿ_1_¢¬???¢â? " xfId="27" xr:uid="{00000000-0005-0000-0000-00001A000000}"/>
    <cellStyle name="??A?_ÿÿÿÿÿÿ_1_¢¬???¢â? " xfId="28" xr:uid="{00000000-0005-0000-0000-00001B000000}"/>
    <cellStyle name="?¡±¢¥?_?¨ù??¢´¢¥_¢¬???¢â? " xfId="29" xr:uid="{00000000-0005-0000-0000-00001C000000}"/>
    <cellStyle name="?ðÇ%U?&amp;H?_x0008_?s_x000a__x0007__x0001__x0001_" xfId="30" xr:uid="{00000000-0005-0000-0000-00001D000000}"/>
    <cellStyle name="[0]_Chi phÝ kh¸c_V" xfId="31" xr:uid="{00000000-0005-0000-0000-00001E000000}"/>
    <cellStyle name="_2006 2007 2008 2009 2010 sales plan HVN IKEDA" xfId="32" xr:uid="{00000000-0005-0000-0000-00001F000000}"/>
    <cellStyle name="_28-06-05" xfId="33" xr:uid="{00000000-0005-0000-0000-000020000000}"/>
    <cellStyle name="_4 BCTC Cong nghe toan nang" xfId="34" xr:uid="{00000000-0005-0000-0000-000021000000}"/>
    <cellStyle name="_5NT-Bavia GEAR" xfId="35" xr:uid="{00000000-0005-0000-0000-000022000000}"/>
    <cellStyle name="_ANAM_ MKLayout Tonghop (25-Aug)" xfId="36" xr:uid="{00000000-0005-0000-0000-000023000000}"/>
    <cellStyle name="_B6146000" xfId="37" xr:uid="{00000000-0005-0000-0000-000024000000}"/>
    <cellStyle name="_Bang Chi tieu (2)" xfId="38" xr:uid="{00000000-0005-0000-0000-000025000000}"/>
    <cellStyle name="_Bang QL Phe Pham" xfId="39" xr:uid="{00000000-0005-0000-0000-000026000000}"/>
    <cellStyle name="_Bang quan ly nang luc DC-2" xfId="40" xr:uid="{00000000-0005-0000-0000-000027000000}"/>
    <cellStyle name="_BAOCAO-FOG" xfId="41" xr:uid="{00000000-0005-0000-0000-000028000000}"/>
    <cellStyle name="_BC pro4 2005" xfId="42" xr:uid="{00000000-0005-0000-0000-000029000000}"/>
    <cellStyle name="_bio" xfId="43" xr:uid="{00000000-0005-0000-0000-00002A000000}"/>
    <cellStyle name="_BLKien-12-2002" xfId="44" xr:uid="{00000000-0005-0000-0000-00002B000000}"/>
    <cellStyle name="_BLKien-12-2002_Flow.Chart-Short" xfId="45" xr:uid="{00000000-0005-0000-0000-00002C000000}"/>
    <cellStyle name="_BLKien-12-2002_PCCVTRDiem" xfId="46" xr:uid="{00000000-0005-0000-0000-00002D000000}"/>
    <cellStyle name="_B-NLDT-ISO" xfId="47" xr:uid="{00000000-0005-0000-0000-00002E000000}"/>
    <cellStyle name="_Book1" xfId="48" xr:uid="{00000000-0005-0000-0000-00002F000000}"/>
    <cellStyle name="_Book1_1" xfId="49" xr:uid="{00000000-0005-0000-0000-000030000000}"/>
    <cellStyle name="_Book1_28-06-05" xfId="50" xr:uid="{00000000-0005-0000-0000-000031000000}"/>
    <cellStyle name="_Book1_5NT-Bavia GEAR" xfId="51" xr:uid="{00000000-0005-0000-0000-000032000000}"/>
    <cellStyle name="_Book1_ANAM_ MKLayout Tonghop (25-Aug)" xfId="52" xr:uid="{00000000-0005-0000-0000-000033000000}"/>
    <cellStyle name="_Book1_B6146000" xfId="53" xr:uid="{00000000-0005-0000-0000-000034000000}"/>
    <cellStyle name="_Book1_BAOCAO-FOG" xfId="54" xr:uid="{00000000-0005-0000-0000-000035000000}"/>
    <cellStyle name="_Book1_BLKien-12-2002" xfId="55" xr:uid="{00000000-0005-0000-0000-000036000000}"/>
    <cellStyle name="_Book1_Book1" xfId="56" xr:uid="{00000000-0005-0000-0000-000037000000}"/>
    <cellStyle name="_Book1_Book1_MA SO KIEM ke Dang sd" xfId="57" xr:uid="{00000000-0005-0000-0000-000038000000}"/>
    <cellStyle name="_Book1_Book2" xfId="58" xr:uid="{00000000-0005-0000-0000-000039000000}"/>
    <cellStyle name="_Book1_Book3" xfId="59" xr:uid="{00000000-0005-0000-0000-00003A000000}"/>
    <cellStyle name="_Book1_CbiKKee" xfId="60" xr:uid="{00000000-0005-0000-0000-00003B000000}"/>
    <cellStyle name="_Book1_Copy of TCCVtruongca" xfId="61" xr:uid="{00000000-0005-0000-0000-00003C000000}"/>
    <cellStyle name="_Book1_Damper CaseJUNE-2006 2line het phoi F23.5" xfId="62" xr:uid="{00000000-0005-0000-0000-00003D000000}"/>
    <cellStyle name="_Book1_danh sach nhan phieu kiem ke" xfId="63" xr:uid="{00000000-0005-0000-0000-00003E000000}"/>
    <cellStyle name="_Book1_Danh sach nhan vien 23-Feb-2007 (Phan nhom 1)" xfId="64" xr:uid="{00000000-0005-0000-0000-00003F000000}"/>
    <cellStyle name="_Book1_dat hang spare part cac khuon" xfId="65" xr:uid="{00000000-0005-0000-0000-000040000000}"/>
    <cellStyle name="_Book1_dat thep 04" xfId="66" xr:uid="{00000000-0005-0000-0000-000041000000}"/>
    <cellStyle name="_Book1_File-NEW-Thang 5" xfId="67" xr:uid="{00000000-0005-0000-0000-000042000000}"/>
    <cellStyle name="_Book1_Flow.Chart-Short" xfId="68" xr:uid="{00000000-0005-0000-0000-000043000000}"/>
    <cellStyle name="_Book1_Flows Chart of Docs-15-Jun-04" xfId="69" xr:uid="{00000000-0005-0000-0000-000044000000}"/>
    <cellStyle name="_Book1_Form BCaoSX DC" xfId="70" xr:uid="{00000000-0005-0000-0000-000045000000}"/>
    <cellStyle name="_Book1_Gui Minh" xfId="71" xr:uid="{00000000-0005-0000-0000-000046000000}"/>
    <cellStyle name="_Book1_Hoach toan may rua ong1" xfId="72" xr:uid="{00000000-0005-0000-0000-000047000000}"/>
    <cellStyle name="_Book1_Hop cbi KKe" xfId="73" xr:uid="{00000000-0005-0000-0000-000048000000}"/>
    <cellStyle name="_Book1_huong dan kiem ke" xfId="74" xr:uid="{00000000-0005-0000-0000-000049000000}"/>
    <cellStyle name="_Book1_Inves-Total" xfId="75" xr:uid="{00000000-0005-0000-0000-00004A000000}"/>
    <cellStyle name="_Book1_INVES-ToTal AS&amp;CORD " xfId="76" xr:uid="{00000000-0005-0000-0000-00004B000000}"/>
    <cellStyle name="_Book1_KHSX NEW" xfId="77" xr:uid="{00000000-0005-0000-0000-00004C000000}"/>
    <cellStyle name="_Book1_KINGDUAN-2004-O-B" xfId="78" xr:uid="{00000000-0005-0000-0000-00004D000000}"/>
    <cellStyle name="_Book1_Layout KK1" xfId="79" xr:uid="{00000000-0005-0000-0000-00004E000000}"/>
    <cellStyle name="_Book1_LC-Yangmin" xfId="80" xr:uid="{00000000-0005-0000-0000-00004F000000}"/>
    <cellStyle name="_Book1_LOCAL-12-2002" xfId="81" xr:uid="{00000000-0005-0000-0000-000050000000}"/>
    <cellStyle name="_Book1_MA SO KIEM ke Dang sd" xfId="82" xr:uid="{00000000-0005-0000-0000-000051000000}"/>
    <cellStyle name="_Book1_MA SO KIEM KE3-1" xfId="83" xr:uid="{00000000-0005-0000-0000-000052000000}"/>
    <cellStyle name="_Book1_May Metan gui map1" xfId="84" xr:uid="{00000000-0005-0000-0000-000053000000}"/>
    <cellStyle name="_Book1_MKLayout Tonghop (25-Aug)" xfId="85" xr:uid="{00000000-0005-0000-0000-000054000000}"/>
    <cellStyle name="_Book1_NEW MC" xfId="86" xr:uid="{00000000-0005-0000-0000-000055000000}"/>
    <cellStyle name="_Book1_New-Time-SM(ok)" xfId="87" xr:uid="{00000000-0005-0000-0000-000056000000}"/>
    <cellStyle name="_Book1_New-Time-SM(ok-10)" xfId="88" xr:uid="{00000000-0005-0000-0000-000057000000}"/>
    <cellStyle name="_Book1_Nldc new" xfId="89" xr:uid="{00000000-0005-0000-0000-000058000000}"/>
    <cellStyle name="_Book1_N-Mar-04 (13-Mar) (2)" xfId="90" xr:uid="{00000000-0005-0000-0000-000059000000}"/>
    <cellStyle name="_Book1_PARETO-RC" xfId="91" xr:uid="{00000000-0005-0000-0000-00005A000000}"/>
    <cellStyle name="_Book1_PCCVTRDiem" xfId="92" xr:uid="{00000000-0005-0000-0000-00005B000000}"/>
    <cellStyle name="_Book1_PCKKe (27-Jun-2004)LAST" xfId="93" xr:uid="{00000000-0005-0000-0000-00005C000000}"/>
    <cellStyle name="_Book1_PCKKe 30-DEC-2004-LAST" xfId="94" xr:uid="{00000000-0005-0000-0000-00005D000000}"/>
    <cellStyle name="_Book1_Phe Pham-Outer" xfId="95" xr:uid="{00000000-0005-0000-0000-00005E000000}"/>
    <cellStyle name="_Book1_Phieu KK 31-Dec-03" xfId="96" xr:uid="{00000000-0005-0000-0000-00005F000000}"/>
    <cellStyle name="_Book1_Qlnl  theo FOG 1-04" xfId="97" xr:uid="{00000000-0005-0000-0000-000060000000}"/>
    <cellStyle name="_Book1_Qlnl  theo FOG 3-04" xfId="98" xr:uid="{00000000-0005-0000-0000-000061000000}"/>
    <cellStyle name="_Book1_Qlnl  theo FOG 4-04" xfId="99" xr:uid="{00000000-0005-0000-0000-000062000000}"/>
    <cellStyle name="_Book1_Qlnl  theo FOG 6-04" xfId="100" xr:uid="{00000000-0005-0000-0000-000063000000}"/>
    <cellStyle name="_Book1_Quan ly cong doan-SM" xfId="101" xr:uid="{00000000-0005-0000-0000-000064000000}"/>
    <cellStyle name="_Book1_Quan ly PP-SM(ok)" xfId="102" xr:uid="{00000000-0005-0000-0000-000065000000}"/>
    <cellStyle name="_Book1_ST comp-12-2002" xfId="103" xr:uid="{00000000-0005-0000-0000-000066000000}"/>
    <cellStyle name="_Book1_THEO DOI SX HN" xfId="104" xr:uid="{00000000-0005-0000-0000-000067000000}"/>
    <cellStyle name="_Book1_tong hop su dung phieu" xfId="105" xr:uid="{00000000-0005-0000-0000-000068000000}"/>
    <cellStyle name="_Book1_TONGHOPMASOK.KE 30-12-2004" xfId="106" xr:uid="{00000000-0005-0000-0000-000069000000}"/>
    <cellStyle name="_Book1_Total-NG-Outer-12" xfId="107" xr:uid="{00000000-0005-0000-0000-00006A000000}"/>
    <cellStyle name="_Book1_Total-NG-Outer-3" xfId="108" xr:uid="{00000000-0005-0000-0000-00006B000000}"/>
    <cellStyle name="_Book1_Total-NG-Outer-7,8" xfId="109" xr:uid="{00000000-0005-0000-0000-00006C000000}"/>
    <cellStyle name="_Book1_Total-NG-Plate" xfId="110" xr:uid="{00000000-0005-0000-0000-00006D000000}"/>
    <cellStyle name="_BQL Ha Noi" xfId="111" xr:uid="{00000000-0005-0000-0000-00006E000000}"/>
    <cellStyle name="_bQLNLDC-2-04" xfId="112" xr:uid="{00000000-0005-0000-0000-00006F000000}"/>
    <cellStyle name="_CbiKKee" xfId="113" xr:uid="{00000000-0005-0000-0000-000070000000}"/>
    <cellStyle name="_Cham cong+độc hại  plat" xfId="114" xr:uid="{00000000-0005-0000-0000-000071000000}"/>
    <cellStyle name="_Code kiem ke 30-06-2004 To Mr Hai" xfId="115" xr:uid="{00000000-0005-0000-0000-000072000000}"/>
    <cellStyle name="_Concept layout" xfId="116" xr:uid="{00000000-0005-0000-0000-000073000000}"/>
    <cellStyle name="_Cong 2006" xfId="117" xr:uid="{00000000-0005-0000-0000-000074000000}"/>
    <cellStyle name="_Copy of Bao cao chat luong" xfId="118" xr:uid="{00000000-0005-0000-0000-000075000000}"/>
    <cellStyle name="_Copy of Bao cao phe pham  DC-SM(NEW)" xfId="119" xr:uid="{00000000-0005-0000-0000-000076000000}"/>
    <cellStyle name="_Copy of QLthuc te- 2005-OC,PL.exl" xfId="120" xr:uid="{00000000-0005-0000-0000-000077000000}"/>
    <cellStyle name="_Copy of TCCVtruongca" xfId="121" xr:uid="{00000000-0005-0000-0000-000078000000}"/>
    <cellStyle name="_Cost pro" xfId="122" xr:uid="{00000000-0005-0000-0000-000079000000}"/>
    <cellStyle name="_CP LEVER COMP" xfId="123" xr:uid="{00000000-0005-0000-0000-00007A000000}"/>
    <cellStyle name="_CP OUTER PRIMARY" xfId="124" xr:uid="{00000000-0005-0000-0000-00007B000000}"/>
    <cellStyle name="_CP-Outer-QC" xfId="125" xr:uid="{00000000-0005-0000-0000-00007C000000}"/>
    <cellStyle name="_Damper CaseJUNE-2006 2line het phoi F23.5" xfId="126" xr:uid="{00000000-0005-0000-0000-00007D000000}"/>
    <cellStyle name="_danh sach nhan phieu kiem ke" xfId="127" xr:uid="{00000000-0005-0000-0000-00007E000000}"/>
    <cellStyle name="_Danh sach nhan vien 23-Feb-2007 (Phan nhom 1)" xfId="128" xr:uid="{00000000-0005-0000-0000-00007F000000}"/>
    <cellStyle name="_De tai No2" xfId="129" xr:uid="{00000000-0005-0000-0000-000080000000}"/>
    <cellStyle name="_de tai trong diem 2005" xfId="130" xr:uid="{00000000-0005-0000-0000-000081000000}"/>
    <cellStyle name="_de tai trong diem 2006" xfId="131" xr:uid="{00000000-0005-0000-0000-000082000000}"/>
    <cellStyle name="_de tai trong diem 2006_1" xfId="132" xr:uid="{00000000-0005-0000-0000-000083000000}"/>
    <cellStyle name="_Đề Tài Trọng Điểm CL 2006" xfId="133" xr:uid="{00000000-0005-0000-0000-000084000000}"/>
    <cellStyle name="_DETAI" xfId="134" xr:uid="{00000000-0005-0000-0000-000085000000}"/>
    <cellStyle name="_Detai No3" xfId="135" xr:uid="{00000000-0005-0000-0000-000086000000}"/>
    <cellStyle name="_Detai pro4-05" xfId="136" xr:uid="{00000000-0005-0000-0000-000087000000}"/>
    <cellStyle name="_Export 2003" xfId="137" xr:uid="{00000000-0005-0000-0000-000088000000}"/>
    <cellStyle name="_File nhap KK 30-12-2005" xfId="138" xr:uid="{00000000-0005-0000-0000-000089000000}"/>
    <cellStyle name="_File-NEW-Thang 5" xfId="139" xr:uid="{00000000-0005-0000-0000-00008A000000}"/>
    <cellStyle name="_Flows Chart of Docs-15-Jun-04" xfId="140" xr:uid="{00000000-0005-0000-0000-00008B000000}"/>
    <cellStyle name="_Form BCaoSX DC" xfId="141" xr:uid="{00000000-0005-0000-0000-00008C000000}"/>
    <cellStyle name="_Form Dieu tra nang luc day chuyen  theo  New" xfId="142" xr:uid="{00000000-0005-0000-0000-00008D000000}"/>
    <cellStyle name="_Gui Minh" xfId="143" xr:uid="{00000000-0005-0000-0000-00008E000000}"/>
    <cellStyle name="_hoai mail" xfId="144" xr:uid="{00000000-0005-0000-0000-00008F000000}"/>
    <cellStyle name="_Hop cbi KKe" xfId="145" xr:uid="{00000000-0005-0000-0000-000090000000}"/>
    <cellStyle name="_HopKK-31 Dec 03" xfId="146" xr:uid="{00000000-0005-0000-0000-000091000000}"/>
    <cellStyle name="_huong dan kiem ke" xfId="147" xr:uid="{00000000-0005-0000-0000-000092000000}"/>
    <cellStyle name="_HVN 2006 2nd half Production plan (Rev 06)" xfId="148" xr:uid="{00000000-0005-0000-0000-000093000000}"/>
    <cellStyle name="_HVN 2007 PRODUCTION PLAN (SEIHAN 12 OCT06)" xfId="149" xr:uid="{00000000-0005-0000-0000-000094000000}"/>
    <cellStyle name="_Imp" xfId="150" xr:uid="{00000000-0005-0000-0000-000095000000}"/>
    <cellStyle name="_Imp_2" xfId="151" xr:uid="{00000000-0005-0000-0000-000096000000}"/>
    <cellStyle name="_Imp_2_New Stem comp Machine Plan 2008" xfId="152" xr:uid="{00000000-0005-0000-0000-000097000000}"/>
    <cellStyle name="_Imp_2_New Stem comp Machine Plan 2008_1" xfId="153" xr:uid="{00000000-0005-0000-0000-000098000000}"/>
    <cellStyle name="_Imp_2_New Stem comp Machine Plan 2008_27DEC2007" xfId="154" xr:uid="{00000000-0005-0000-0000-000099000000}"/>
    <cellStyle name="_Imp_2_New Stem comp Machine Plan 2008_Copy of Sơ đồ công đoạn -Rod &amp; FP-19Dec07" xfId="155" xr:uid="{00000000-0005-0000-0000-00009A000000}"/>
    <cellStyle name="_Imp_2_New Stem comp Machine Plan 2008_PRO2 20-DEC" xfId="156" xr:uid="{00000000-0005-0000-0000-00009B000000}"/>
    <cellStyle name="_Imp_2_New Stem comp Machine Plan 2008_REPORT~1" xfId="157" xr:uid="{00000000-0005-0000-0000-00009C000000}"/>
    <cellStyle name="_Imp_3" xfId="158" xr:uid="{00000000-0005-0000-0000-00009D000000}"/>
    <cellStyle name="_Imp_4" xfId="159" xr:uid="{00000000-0005-0000-0000-00009E000000}"/>
    <cellStyle name="_Imp_5" xfId="160" xr:uid="{00000000-0005-0000-0000-00009F000000}"/>
    <cellStyle name="_Imp_6" xfId="161" xr:uid="{00000000-0005-0000-0000-0000A0000000}"/>
    <cellStyle name="_Imp_7" xfId="162" xr:uid="{00000000-0005-0000-0000-0000A1000000}"/>
    <cellStyle name="_Imp_8" xfId="163" xr:uid="{00000000-0005-0000-0000-0000A2000000}"/>
    <cellStyle name="_Imp_9" xfId="164" xr:uid="{00000000-0005-0000-0000-0000A3000000}"/>
    <cellStyle name="_Imp_A" xfId="165" xr:uid="{00000000-0005-0000-0000-0000A4000000}"/>
    <cellStyle name="_Imp_B" xfId="166" xr:uid="{00000000-0005-0000-0000-0000A5000000}"/>
    <cellStyle name="_Inves-Total" xfId="167" xr:uid="{00000000-0005-0000-0000-0000A6000000}"/>
    <cellStyle name="_INVES-ToTal AS&amp;CORD " xfId="168" xr:uid="{00000000-0005-0000-0000-0000A7000000}"/>
    <cellStyle name="_KFLP-12-2002" xfId="169" xr:uid="{00000000-0005-0000-0000-0000A8000000}"/>
    <cellStyle name="_KFLP-12-2002_Flow.Chart-Short" xfId="170" xr:uid="{00000000-0005-0000-0000-0000A9000000}"/>
    <cellStyle name="_KFLP-12-2002_PCCVTRDiem" xfId="171" xr:uid="{00000000-0005-0000-0000-0000AA000000}"/>
    <cellStyle name="_KFVN-12-2002" xfId="172" xr:uid="{00000000-0005-0000-0000-0000AB000000}"/>
    <cellStyle name="_KFVN-12-2002_Flow.Chart-Short" xfId="173" xr:uid="{00000000-0005-0000-0000-0000AC000000}"/>
    <cellStyle name="_KFVN-12-2002_PCCVTRDiem" xfId="174" xr:uid="{00000000-0005-0000-0000-0000AD000000}"/>
    <cellStyle name="_KFVT-12-2002" xfId="175" xr:uid="{00000000-0005-0000-0000-0000AE000000}"/>
    <cellStyle name="_KFVT-12-2002_Flow.Chart-Short" xfId="176" xr:uid="{00000000-0005-0000-0000-0000AF000000}"/>
    <cellStyle name="_KFVT-12-2002_PCCVTRDiem" xfId="177" xr:uid="{00000000-0005-0000-0000-0000B0000000}"/>
    <cellStyle name="_KFVW NIGURI" xfId="178" xr:uid="{00000000-0005-0000-0000-0000B1000000}"/>
    <cellStyle name="_KH nhap noi" xfId="179" xr:uid="{00000000-0005-0000-0000-0000B2000000}"/>
    <cellStyle name="_KH09-02" xfId="180" xr:uid="{00000000-0005-0000-0000-0000B3000000}"/>
    <cellStyle name="_KH09-02_Flow.Chart-Short" xfId="181" xr:uid="{00000000-0005-0000-0000-0000B4000000}"/>
    <cellStyle name="_KH09-02_PCCVTRDiem" xfId="182" xr:uid="{00000000-0005-0000-0000-0000B5000000}"/>
    <cellStyle name="_KHDTNL" xfId="183" xr:uid="{00000000-0005-0000-0000-0000B6000000}"/>
    <cellStyle name="_KRSA-09-2002" xfId="184" xr:uid="{00000000-0005-0000-0000-0000B7000000}"/>
    <cellStyle name="_KT (2)" xfId="185" xr:uid="{00000000-0005-0000-0000-0000B8000000}"/>
    <cellStyle name="_KT (2)_1" xfId="186" xr:uid="{00000000-0005-0000-0000-0000B9000000}"/>
    <cellStyle name="_KT (2)_2" xfId="187" xr:uid="{00000000-0005-0000-0000-0000BA000000}"/>
    <cellStyle name="_KT (2)_2_TG-TH" xfId="188" xr:uid="{00000000-0005-0000-0000-0000BB000000}"/>
    <cellStyle name="_KT (2)_3" xfId="189" xr:uid="{00000000-0005-0000-0000-0000BC000000}"/>
    <cellStyle name="_KT (2)_3_TG-TH" xfId="190" xr:uid="{00000000-0005-0000-0000-0000BD000000}"/>
    <cellStyle name="_KT (2)_4" xfId="191" xr:uid="{00000000-0005-0000-0000-0000BE000000}"/>
    <cellStyle name="_KT (2)_4_TG-TH" xfId="192" xr:uid="{00000000-0005-0000-0000-0000BF000000}"/>
    <cellStyle name="_KT (2)_5" xfId="193" xr:uid="{00000000-0005-0000-0000-0000C0000000}"/>
    <cellStyle name="_KT (2)_TG-TH" xfId="194" xr:uid="{00000000-0005-0000-0000-0000C1000000}"/>
    <cellStyle name="_KT_TG" xfId="195" xr:uid="{00000000-0005-0000-0000-0000C2000000}"/>
    <cellStyle name="_KT_TG_1" xfId="196" xr:uid="{00000000-0005-0000-0000-0000C3000000}"/>
    <cellStyle name="_KT_TG_2" xfId="197" xr:uid="{00000000-0005-0000-0000-0000C4000000}"/>
    <cellStyle name="_KT_TG_3" xfId="198" xr:uid="{00000000-0005-0000-0000-0000C5000000}"/>
    <cellStyle name="_KT_TG_4" xfId="199" xr:uid="{00000000-0005-0000-0000-0000C6000000}"/>
    <cellStyle name="_Layout KK1" xfId="200" xr:uid="{00000000-0005-0000-0000-0000C7000000}"/>
    <cellStyle name="_LC-Yangmin" xfId="201" xr:uid="{00000000-0005-0000-0000-0000C8000000}"/>
    <cellStyle name="_List of reports needed 260704" xfId="202" xr:uid="{00000000-0005-0000-0000-0000C9000000}"/>
    <cellStyle name="_LOCAL-12-2002" xfId="203" xr:uid="{00000000-0005-0000-0000-0000CA000000}"/>
    <cellStyle name="_LOCAL-12-2002_Flow.Chart-Short" xfId="204" xr:uid="{00000000-0005-0000-0000-0000CB000000}"/>
    <cellStyle name="_LOCAL-12-2002_PCCVTRDiem" xfId="205" xr:uid="{00000000-0005-0000-0000-0000CC000000}"/>
    <cellStyle name="_Log" xfId="206" xr:uid="{00000000-0005-0000-0000-0000CD000000}"/>
    <cellStyle name="_Log_1" xfId="207" xr:uid="{00000000-0005-0000-0000-0000CE000000}"/>
    <cellStyle name="_Log_1_New Stem comp Machine Plan 2008" xfId="208" xr:uid="{00000000-0005-0000-0000-0000CF000000}"/>
    <cellStyle name="_Log_1_New Stem comp Machine Plan 2008_1" xfId="209" xr:uid="{00000000-0005-0000-0000-0000D0000000}"/>
    <cellStyle name="_Log_1_New Stem comp Machine Plan 2008_27DEC2007" xfId="210" xr:uid="{00000000-0005-0000-0000-0000D1000000}"/>
    <cellStyle name="_Log_1_New Stem comp Machine Plan 2008_Copy of Sơ đồ công đoạn -Rod &amp; FP-19Dec07" xfId="211" xr:uid="{00000000-0005-0000-0000-0000D2000000}"/>
    <cellStyle name="_Log_1_New Stem comp Machine Plan 2008_PRO2 20-DEC" xfId="212" xr:uid="{00000000-0005-0000-0000-0000D3000000}"/>
    <cellStyle name="_Log_1_New Stem comp Machine Plan 2008_REPORT~1" xfId="213" xr:uid="{00000000-0005-0000-0000-0000D4000000}"/>
    <cellStyle name="_Log_2" xfId="214" xr:uid="{00000000-0005-0000-0000-0000D5000000}"/>
    <cellStyle name="_Log_3" xfId="215" xr:uid="{00000000-0005-0000-0000-0000D6000000}"/>
    <cellStyle name="_Log_4" xfId="216" xr:uid="{00000000-0005-0000-0000-0000D7000000}"/>
    <cellStyle name="_Log_5" xfId="217" xr:uid="{00000000-0005-0000-0000-0000D8000000}"/>
    <cellStyle name="_Log_6" xfId="218" xr:uid="{00000000-0005-0000-0000-0000D9000000}"/>
    <cellStyle name="_Log_7" xfId="219" xr:uid="{00000000-0005-0000-0000-0000DA000000}"/>
    <cellStyle name="_Log_8" xfId="220" xr:uid="{00000000-0005-0000-0000-0000DB000000}"/>
    <cellStyle name="_Log_9" xfId="221" xr:uid="{00000000-0005-0000-0000-0000DC000000}"/>
    <cellStyle name="_Log_A" xfId="222" xr:uid="{00000000-0005-0000-0000-0000DD000000}"/>
    <cellStyle name="_LT+LC RC+FF" xfId="223" xr:uid="{00000000-0005-0000-0000-0000DE000000}"/>
    <cellStyle name="_MA SO KIEM ke Dang sd" xfId="224" xr:uid="{00000000-0005-0000-0000-0000DF000000}"/>
    <cellStyle name="_MA SO KIEM KE3-1" xfId="225" xr:uid="{00000000-0005-0000-0000-0000E0000000}"/>
    <cellStyle name="_Mau bai toan TK hàn " xfId="226" xr:uid="{00000000-0005-0000-0000-0000E1000000}"/>
    <cellStyle name="_Mau GH" xfId="227" xr:uid="{00000000-0005-0000-0000-0000E2000000}"/>
    <cellStyle name="_MKLayout Tonghop (25-Aug)" xfId="228" xr:uid="{00000000-0005-0000-0000-0000E3000000}"/>
    <cellStyle name="_MS KK 30-06-2005" xfId="229" xr:uid="{00000000-0005-0000-0000-0000E4000000}"/>
    <cellStyle name="_Nang luc DC OUTER, PLATE, LEVER" xfId="230" xr:uid="{00000000-0005-0000-0000-0000E5000000}"/>
    <cellStyle name="_Nang luc press2006" xfId="231" xr:uid="{00000000-0005-0000-0000-0000E6000000}"/>
    <cellStyle name="_NDIA04-2000" xfId="232" xr:uid="{00000000-0005-0000-0000-0000E7000000}"/>
    <cellStyle name="_NDIA04-2000_28-06-05" xfId="233" xr:uid="{00000000-0005-0000-0000-0000E8000000}"/>
    <cellStyle name="_NDIA04-2000_5NT-Bavia GEAR" xfId="234" xr:uid="{00000000-0005-0000-0000-0000E9000000}"/>
    <cellStyle name="_NDIA04-2000_ANAM_ MKLayout Tonghop (25-Aug)" xfId="235" xr:uid="{00000000-0005-0000-0000-0000EA000000}"/>
    <cellStyle name="_NDIA04-2000_B6146000" xfId="236" xr:uid="{00000000-0005-0000-0000-0000EB000000}"/>
    <cellStyle name="_NDIA04-2000_Bang quan ly nang luc DC-2" xfId="237" xr:uid="{00000000-0005-0000-0000-0000EC000000}"/>
    <cellStyle name="_NDIA04-2000_BAOCAO-FOG" xfId="238" xr:uid="{00000000-0005-0000-0000-0000ED000000}"/>
    <cellStyle name="_NDIA04-2000_BLKien-12-2002" xfId="239" xr:uid="{00000000-0005-0000-0000-0000EE000000}"/>
    <cellStyle name="_NDIA04-2000_BLKien-12-2002_Flow.Chart-Short" xfId="240" xr:uid="{00000000-0005-0000-0000-0000EF000000}"/>
    <cellStyle name="_NDIA04-2000_BLKien-12-2002_PCCVTRDiem" xfId="241" xr:uid="{00000000-0005-0000-0000-0000F0000000}"/>
    <cellStyle name="_NDIA04-2000_Book1" xfId="242" xr:uid="{00000000-0005-0000-0000-0000F1000000}"/>
    <cellStyle name="_NDIA04-2000_Book1_28-06-05" xfId="243" xr:uid="{00000000-0005-0000-0000-0000F2000000}"/>
    <cellStyle name="_NDIA04-2000_Book1_5NT-Bavia GEAR" xfId="244" xr:uid="{00000000-0005-0000-0000-0000F3000000}"/>
    <cellStyle name="_NDIA04-2000_Book1_ANAM_ MKLayout Tonghop (25-Aug)" xfId="245" xr:uid="{00000000-0005-0000-0000-0000F4000000}"/>
    <cellStyle name="_NDIA04-2000_Book1_B6146000" xfId="246" xr:uid="{00000000-0005-0000-0000-0000F5000000}"/>
    <cellStyle name="_NDIA04-2000_Book1_BAOCAO-FOG" xfId="247" xr:uid="{00000000-0005-0000-0000-0000F6000000}"/>
    <cellStyle name="_NDIA04-2000_Book1_BLKien-12-2002" xfId="248" xr:uid="{00000000-0005-0000-0000-0000F7000000}"/>
    <cellStyle name="_NDIA04-2000_Book1_Book1" xfId="249" xr:uid="{00000000-0005-0000-0000-0000F8000000}"/>
    <cellStyle name="_NDIA04-2000_Book1_Book2" xfId="250" xr:uid="{00000000-0005-0000-0000-0000F9000000}"/>
    <cellStyle name="_NDIA04-2000_Book1_Book3" xfId="251" xr:uid="{00000000-0005-0000-0000-0000FA000000}"/>
    <cellStyle name="_NDIA04-2000_Book1_CbiKKee" xfId="252" xr:uid="{00000000-0005-0000-0000-0000FB000000}"/>
    <cellStyle name="_NDIA04-2000_Book1_Copy of TCCVtruongca" xfId="253" xr:uid="{00000000-0005-0000-0000-0000FC000000}"/>
    <cellStyle name="_NDIA04-2000_Book1_Damper CaseJUNE-2006 2line het phoi F23.5" xfId="254" xr:uid="{00000000-0005-0000-0000-0000FD000000}"/>
    <cellStyle name="_NDIA04-2000_Book1_danh sach nhan phieu kiem ke" xfId="255" xr:uid="{00000000-0005-0000-0000-0000FE000000}"/>
    <cellStyle name="_NDIA04-2000_Book1_Danh sach nhan vien 23-Feb-2007 (Phan nhom 1)" xfId="256" xr:uid="{00000000-0005-0000-0000-0000FF000000}"/>
    <cellStyle name="_NDIA04-2000_Book1_dat hang spare part cac khuon" xfId="257" xr:uid="{00000000-0005-0000-0000-000000010000}"/>
    <cellStyle name="_NDIA04-2000_Book1_dat thep 04" xfId="258" xr:uid="{00000000-0005-0000-0000-000001010000}"/>
    <cellStyle name="_NDIA04-2000_Book1_File-NEW-Thang 5" xfId="259" xr:uid="{00000000-0005-0000-0000-000002010000}"/>
    <cellStyle name="_NDIA04-2000_Book1_Flow.Chart-Short" xfId="260" xr:uid="{00000000-0005-0000-0000-000003010000}"/>
    <cellStyle name="_NDIA04-2000_Book1_Flows Chart of Docs-15-Jun-04" xfId="261" xr:uid="{00000000-0005-0000-0000-000004010000}"/>
    <cellStyle name="_NDIA04-2000_Book1_Form BCaoSX DC" xfId="262" xr:uid="{00000000-0005-0000-0000-000005010000}"/>
    <cellStyle name="_NDIA04-2000_Book1_Gui Minh" xfId="263" xr:uid="{00000000-0005-0000-0000-000006010000}"/>
    <cellStyle name="_NDIA04-2000_Book1_Hop cbi KKe" xfId="264" xr:uid="{00000000-0005-0000-0000-000007010000}"/>
    <cellStyle name="_NDIA04-2000_Book1_huong dan kiem ke" xfId="265" xr:uid="{00000000-0005-0000-0000-000008010000}"/>
    <cellStyle name="_NDIA04-2000_Book1_Inves-Total" xfId="266" xr:uid="{00000000-0005-0000-0000-000009010000}"/>
    <cellStyle name="_NDIA04-2000_Book1_INVES-ToTal AS&amp;CORD " xfId="267" xr:uid="{00000000-0005-0000-0000-00000A010000}"/>
    <cellStyle name="_NDIA04-2000_Book1_KHSX NEW" xfId="268" xr:uid="{00000000-0005-0000-0000-00000B010000}"/>
    <cellStyle name="_NDIA04-2000_Book1_KINGDUAN-2004-O-B" xfId="269" xr:uid="{00000000-0005-0000-0000-00000C010000}"/>
    <cellStyle name="_NDIA04-2000_Book1_Layout KK1" xfId="270" xr:uid="{00000000-0005-0000-0000-00000D010000}"/>
    <cellStyle name="_NDIA04-2000_Book1_LC-Yangmin" xfId="271" xr:uid="{00000000-0005-0000-0000-00000E010000}"/>
    <cellStyle name="_NDIA04-2000_Book1_LOCAL-12-2002" xfId="272" xr:uid="{00000000-0005-0000-0000-00000F010000}"/>
    <cellStyle name="_NDIA04-2000_Book1_MA SO KIEM ke Dang sd" xfId="273" xr:uid="{00000000-0005-0000-0000-000010010000}"/>
    <cellStyle name="_NDIA04-2000_Book1_MA SO KIEM KE3-1" xfId="274" xr:uid="{00000000-0005-0000-0000-000011010000}"/>
    <cellStyle name="_NDIA04-2000_Book1_MKLayout Tonghop (25-Aug)" xfId="275" xr:uid="{00000000-0005-0000-0000-000012010000}"/>
    <cellStyle name="_NDIA04-2000_Book1_NEW MC" xfId="276" xr:uid="{00000000-0005-0000-0000-000013010000}"/>
    <cellStyle name="_NDIA04-2000_Book1_New-Time-SM(ok)" xfId="277" xr:uid="{00000000-0005-0000-0000-000014010000}"/>
    <cellStyle name="_NDIA04-2000_Book1_New-Time-SM(ok-10)" xfId="278" xr:uid="{00000000-0005-0000-0000-000015010000}"/>
    <cellStyle name="_NDIA04-2000_Book1_Nldc new" xfId="279" xr:uid="{00000000-0005-0000-0000-000016010000}"/>
    <cellStyle name="_NDIA04-2000_Book1_N-Mar-04 (13-Mar) (2)" xfId="280" xr:uid="{00000000-0005-0000-0000-000017010000}"/>
    <cellStyle name="_NDIA04-2000_Book1_PARETO-RC" xfId="281" xr:uid="{00000000-0005-0000-0000-000018010000}"/>
    <cellStyle name="_NDIA04-2000_Book1_PCCVTRDiem" xfId="282" xr:uid="{00000000-0005-0000-0000-000019010000}"/>
    <cellStyle name="_NDIA04-2000_Book1_PCKKe (27-Jun-2004)LAST" xfId="283" xr:uid="{00000000-0005-0000-0000-00001A010000}"/>
    <cellStyle name="_NDIA04-2000_Book1_PCKKe 30-DEC-2004-LAST" xfId="284" xr:uid="{00000000-0005-0000-0000-00001B010000}"/>
    <cellStyle name="_NDIA04-2000_Book1_Phe Pham-Outer" xfId="285" xr:uid="{00000000-0005-0000-0000-00001C010000}"/>
    <cellStyle name="_NDIA04-2000_Book1_Phieu KK 31-Dec-03" xfId="286" xr:uid="{00000000-0005-0000-0000-00001D010000}"/>
    <cellStyle name="_NDIA04-2000_Book1_Qlnl  theo FOG 1-04" xfId="287" xr:uid="{00000000-0005-0000-0000-00001E010000}"/>
    <cellStyle name="_NDIA04-2000_Book1_Qlnl  theo FOG 3-04" xfId="288" xr:uid="{00000000-0005-0000-0000-00001F010000}"/>
    <cellStyle name="_NDIA04-2000_Book1_Qlnl  theo FOG 4-04" xfId="289" xr:uid="{00000000-0005-0000-0000-000020010000}"/>
    <cellStyle name="_NDIA04-2000_Book1_Qlnl  theo FOG 6-04" xfId="290" xr:uid="{00000000-0005-0000-0000-000021010000}"/>
    <cellStyle name="_NDIA04-2000_Book1_Quan ly cong doan-SM" xfId="291" xr:uid="{00000000-0005-0000-0000-000022010000}"/>
    <cellStyle name="_NDIA04-2000_Book1_Quan ly PP-SM(ok)" xfId="292" xr:uid="{00000000-0005-0000-0000-000023010000}"/>
    <cellStyle name="_NDIA04-2000_Book1_ST comp-12-2002" xfId="293" xr:uid="{00000000-0005-0000-0000-000024010000}"/>
    <cellStyle name="_NDIA04-2000_Book1_THEO DOI SX HN" xfId="294" xr:uid="{00000000-0005-0000-0000-000025010000}"/>
    <cellStyle name="_NDIA04-2000_Book1_tong hop su dung phieu" xfId="295" xr:uid="{00000000-0005-0000-0000-000026010000}"/>
    <cellStyle name="_NDIA04-2000_Book1_TONGHOPMASOK.KE 30-12-2004" xfId="296" xr:uid="{00000000-0005-0000-0000-000027010000}"/>
    <cellStyle name="_NDIA04-2000_Book1_Total-NG-Outer-12" xfId="297" xr:uid="{00000000-0005-0000-0000-000028010000}"/>
    <cellStyle name="_NDIA04-2000_Book1_Total-NG-Outer-3" xfId="298" xr:uid="{00000000-0005-0000-0000-000029010000}"/>
    <cellStyle name="_NDIA04-2000_Book1_Total-NG-Outer-7,8" xfId="299" xr:uid="{00000000-0005-0000-0000-00002A010000}"/>
    <cellStyle name="_NDIA04-2000_Book1_Total-NG-Plate" xfId="300" xr:uid="{00000000-0005-0000-0000-00002B010000}"/>
    <cellStyle name="_NDIA04-2000_Book2" xfId="301" xr:uid="{00000000-0005-0000-0000-00002C010000}"/>
    <cellStyle name="_NDIA04-2000_Book3" xfId="302" xr:uid="{00000000-0005-0000-0000-00002D010000}"/>
    <cellStyle name="_NDIA04-2000_bQLNLDC-2-04" xfId="303" xr:uid="{00000000-0005-0000-0000-00002E010000}"/>
    <cellStyle name="_NDIA04-2000_CbiKKee" xfId="304" xr:uid="{00000000-0005-0000-0000-00002F010000}"/>
    <cellStyle name="_NDIA04-2000_Cong 2006" xfId="305" xr:uid="{00000000-0005-0000-0000-000030010000}"/>
    <cellStyle name="_NDIA04-2000_Copy of Bao cao chat luong" xfId="306" xr:uid="{00000000-0005-0000-0000-000031010000}"/>
    <cellStyle name="_NDIA04-2000_Copy of Bao cao phe pham  DC-SM(NEW)" xfId="307" xr:uid="{00000000-0005-0000-0000-000032010000}"/>
    <cellStyle name="_NDIA04-2000_Copy of TCCVtruongca" xfId="308" xr:uid="{00000000-0005-0000-0000-000033010000}"/>
    <cellStyle name="_NDIA04-2000_Damper CaseJUNE-2006 2line het phoi F23.5" xfId="309" xr:uid="{00000000-0005-0000-0000-000034010000}"/>
    <cellStyle name="_NDIA04-2000_danh sach nhan phieu kiem ke" xfId="310" xr:uid="{00000000-0005-0000-0000-000035010000}"/>
    <cellStyle name="_NDIA04-2000_Danh sach nhan vien 23-Feb-2007 (Phan nhom 1)" xfId="311" xr:uid="{00000000-0005-0000-0000-000036010000}"/>
    <cellStyle name="_NDIA04-2000_File-NEW-Thang 5" xfId="312" xr:uid="{00000000-0005-0000-0000-000037010000}"/>
    <cellStyle name="_NDIA04-2000_Flows Chart of Docs-15-Jun-04" xfId="313" xr:uid="{00000000-0005-0000-0000-000038010000}"/>
    <cellStyle name="_NDIA04-2000_Form BCaoSX DC" xfId="314" xr:uid="{00000000-0005-0000-0000-000039010000}"/>
    <cellStyle name="_NDIA04-2000_Gui Minh" xfId="315" xr:uid="{00000000-0005-0000-0000-00003A010000}"/>
    <cellStyle name="_NDIA04-2000_Hop cbi KKe" xfId="316" xr:uid="{00000000-0005-0000-0000-00003B010000}"/>
    <cellStyle name="_NDIA04-2000_huong dan kiem ke" xfId="317" xr:uid="{00000000-0005-0000-0000-00003C010000}"/>
    <cellStyle name="_NDIA04-2000_Inves-Total" xfId="318" xr:uid="{00000000-0005-0000-0000-00003D010000}"/>
    <cellStyle name="_NDIA04-2000_INVES-ToTal AS&amp;CORD " xfId="319" xr:uid="{00000000-0005-0000-0000-00003E010000}"/>
    <cellStyle name="_NDIA04-2000_KFVW NIGURI" xfId="320" xr:uid="{00000000-0005-0000-0000-00003F010000}"/>
    <cellStyle name="_NDIA04-2000_KRSA-09-2002" xfId="321" xr:uid="{00000000-0005-0000-0000-000040010000}"/>
    <cellStyle name="_NDIA04-2000_Layout KK1" xfId="322" xr:uid="{00000000-0005-0000-0000-000041010000}"/>
    <cellStyle name="_NDIA04-2000_LC-Yangmin" xfId="323" xr:uid="{00000000-0005-0000-0000-000042010000}"/>
    <cellStyle name="_NDIA04-2000_LOCAL-12-2002" xfId="324" xr:uid="{00000000-0005-0000-0000-000043010000}"/>
    <cellStyle name="_NDIA04-2000_LOCAL-12-2002_Flow.Chart-Short" xfId="325" xr:uid="{00000000-0005-0000-0000-000044010000}"/>
    <cellStyle name="_NDIA04-2000_LOCAL-12-2002_PCCVTRDiem" xfId="326" xr:uid="{00000000-0005-0000-0000-000045010000}"/>
    <cellStyle name="_NDIA04-2000_LT+LC RC+FF" xfId="327" xr:uid="{00000000-0005-0000-0000-000046010000}"/>
    <cellStyle name="_NDIA04-2000_MA SO KIEM ke Dang sd" xfId="328" xr:uid="{00000000-0005-0000-0000-000047010000}"/>
    <cellStyle name="_NDIA04-2000_MA SO KIEM KE3-1" xfId="329" xr:uid="{00000000-0005-0000-0000-000048010000}"/>
    <cellStyle name="_NDIA04-2000_MKLayout Tonghop (25-Aug)" xfId="330" xr:uid="{00000000-0005-0000-0000-000049010000}"/>
    <cellStyle name="_NDIA04-2000_NEW MC" xfId="331" xr:uid="{00000000-0005-0000-0000-00004A010000}"/>
    <cellStyle name="_NDIA04-2000_New-Time-SM(ok)" xfId="332" xr:uid="{00000000-0005-0000-0000-00004B010000}"/>
    <cellStyle name="_NDIA04-2000_New-Time-SM(ok-10)" xfId="333" xr:uid="{00000000-0005-0000-0000-00004C010000}"/>
    <cellStyle name="_NDIA04-2000_PARETO-RC" xfId="334" xr:uid="{00000000-0005-0000-0000-00004D010000}"/>
    <cellStyle name="_NDIA04-2000_PCKKe (27-Jun-2004)LAST" xfId="335" xr:uid="{00000000-0005-0000-0000-00004E010000}"/>
    <cellStyle name="_NDIA04-2000_PCKKe 30-DEC-2004-LAST" xfId="336" xr:uid="{00000000-0005-0000-0000-00004F010000}"/>
    <cellStyle name="_NDIA04-2000_Phe Pham-Outer" xfId="337" xr:uid="{00000000-0005-0000-0000-000050010000}"/>
    <cellStyle name="_NDIA04-2000_Phieu KK 31-Dec-03" xfId="338" xr:uid="{00000000-0005-0000-0000-000051010000}"/>
    <cellStyle name="_NDIA04-2000_Quan ly cong doan-SM" xfId="339" xr:uid="{00000000-0005-0000-0000-000052010000}"/>
    <cellStyle name="_NDIA04-2000_Quan ly PP-SM(ok)" xfId="340" xr:uid="{00000000-0005-0000-0000-000053010000}"/>
    <cellStyle name="_NDIA04-2000_ST comp-12-2002" xfId="341" xr:uid="{00000000-0005-0000-0000-000054010000}"/>
    <cellStyle name="_NDIA04-2000_ST comp-12-2002_Flow.Chart-Short" xfId="342" xr:uid="{00000000-0005-0000-0000-000055010000}"/>
    <cellStyle name="_NDIA04-2000_ST comp-12-2002_PCCVTRDiem" xfId="343" xr:uid="{00000000-0005-0000-0000-000056010000}"/>
    <cellStyle name="_NDIA04-2000_tong hop su dung phieu" xfId="344" xr:uid="{00000000-0005-0000-0000-000057010000}"/>
    <cellStyle name="_NDIA04-2000_Tong ket DACT 2003 " xfId="345" xr:uid="{00000000-0005-0000-0000-000058010000}"/>
    <cellStyle name="_NDIA04-2000_Tong ket DACT 2003 2003" xfId="346" xr:uid="{00000000-0005-0000-0000-000059010000}"/>
    <cellStyle name="_NDIA04-2000_Tong ket DAPH-2003" xfId="347" xr:uid="{00000000-0005-0000-0000-00005A010000}"/>
    <cellStyle name="_NDIA04-2000_TONGHOPMASOK.KE 30-12-2004" xfId="348" xr:uid="{00000000-0005-0000-0000-00005B010000}"/>
    <cellStyle name="_NDIA04-2000_Total-NG-Outer-12" xfId="349" xr:uid="{00000000-0005-0000-0000-00005C010000}"/>
    <cellStyle name="_NDIA04-2000_Total-NG-Outer-3" xfId="350" xr:uid="{00000000-0005-0000-0000-00005D010000}"/>
    <cellStyle name="_NDIA04-2000_Total-NG-Outer-7,8" xfId="351" xr:uid="{00000000-0005-0000-0000-00005E010000}"/>
    <cellStyle name="_NDIA04-2000_Total-NG-Plate" xfId="352" xr:uid="{00000000-0005-0000-0000-00005F010000}"/>
    <cellStyle name="_NDIA04-2000_Xuat-Nhap L.Cord-12-2002" xfId="353" xr:uid="{00000000-0005-0000-0000-000060010000}"/>
    <cellStyle name="_NDIA04-2000_Xuat-Nhap L.Cord-12-2002_Flow.Chart-Short" xfId="354" xr:uid="{00000000-0005-0000-0000-000061010000}"/>
    <cellStyle name="_NDIA04-2000_Xuat-Nhap L.Cord-12-2002_PCCVTRDiem" xfId="355" xr:uid="{00000000-0005-0000-0000-000062010000}"/>
    <cellStyle name="_NEW MC" xfId="356" xr:uid="{00000000-0005-0000-0000-000063010000}"/>
    <cellStyle name="_New Stem comp Machine Plan 2007" xfId="357" xr:uid="{00000000-0005-0000-0000-000064010000}"/>
    <cellStyle name="_New Stem comp Production Plan 2006" xfId="358" xr:uid="{00000000-0005-0000-0000-000065010000}"/>
    <cellStyle name="_New-Time-SM(ok)" xfId="359" xr:uid="{00000000-0005-0000-0000-000066010000}"/>
    <cellStyle name="_New-Time-SM(ok-10)" xfId="360" xr:uid="{00000000-0005-0000-0000-000067010000}"/>
    <cellStyle name="_NIGURI Local Partst-JAN-2005(17-01-2005)" xfId="361" xr:uid="{00000000-0005-0000-0000-000068010000}"/>
    <cellStyle name="_OUTER ASSY" xfId="362" xr:uid="{00000000-0005-0000-0000-000069010000}"/>
    <cellStyle name="_PARETO-RC" xfId="363" xr:uid="{00000000-0005-0000-0000-00006A010000}"/>
    <cellStyle name="_PCKKe (27-Jun-2004)LAST" xfId="364" xr:uid="{00000000-0005-0000-0000-00006B010000}"/>
    <cellStyle name="_PCKKe (30-Jun-2004)OK" xfId="365" xr:uid="{00000000-0005-0000-0000-00006C010000}"/>
    <cellStyle name="_PCKKe 30-DEC-2004-LAST" xfId="366" xr:uid="{00000000-0005-0000-0000-00006D010000}"/>
    <cellStyle name="_Phe Pham-Outer" xfId="367" xr:uid="{00000000-0005-0000-0000-00006E010000}"/>
    <cellStyle name="_Phieu KK 31-Dec-03" xfId="368" xr:uid="{00000000-0005-0000-0000-00006F010000}"/>
    <cellStyle name="_PK" xfId="369" xr:uid="{00000000-0005-0000-0000-000070010000}"/>
    <cellStyle name="_PK_1" xfId="370" xr:uid="{00000000-0005-0000-0000-000071010000}"/>
    <cellStyle name="_PK_2" xfId="371" xr:uid="{00000000-0005-0000-0000-000072010000}"/>
    <cellStyle name="_PK_3" xfId="372" xr:uid="{00000000-0005-0000-0000-000073010000}"/>
    <cellStyle name="_PK_4" xfId="373" xr:uid="{00000000-0005-0000-0000-000074010000}"/>
    <cellStyle name="_PK_5" xfId="374" xr:uid="{00000000-0005-0000-0000-000075010000}"/>
    <cellStyle name="_PK_6" xfId="375" xr:uid="{00000000-0005-0000-0000-000076010000}"/>
    <cellStyle name="_PK_8" xfId="376" xr:uid="{00000000-0005-0000-0000-000077010000}"/>
    <cellStyle name="_PK_9" xfId="377" xr:uid="{00000000-0005-0000-0000-000078010000}"/>
    <cellStyle name="_PK_A" xfId="378" xr:uid="{00000000-0005-0000-0000-000079010000}"/>
    <cellStyle name="_PK_B" xfId="379" xr:uid="{00000000-0005-0000-0000-00007A010000}"/>
    <cellStyle name="_PK_New Stem comp Machine Plan 2008" xfId="380" xr:uid="{00000000-0005-0000-0000-00007B010000}"/>
    <cellStyle name="_PK_New Stem comp Machine Plan 2008_1" xfId="381" xr:uid="{00000000-0005-0000-0000-00007C010000}"/>
    <cellStyle name="_PK_New Stem comp Machine Plan 2008_27DEC2007" xfId="382" xr:uid="{00000000-0005-0000-0000-00007D010000}"/>
    <cellStyle name="_PK_New Stem comp Machine Plan 2008_Copy of Sơ đồ công đoạn -Rod &amp; FP-19Dec07" xfId="383" xr:uid="{00000000-0005-0000-0000-00007E010000}"/>
    <cellStyle name="_PK_New Stem comp Machine Plan 2008_PRO2 20-DEC" xfId="384" xr:uid="{00000000-0005-0000-0000-00007F010000}"/>
    <cellStyle name="_PK_New Stem comp Machine Plan 2008_REPORT~1" xfId="385" xr:uid="{00000000-0005-0000-0000-000080010000}"/>
    <cellStyle name="_Plan Production" xfId="386" xr:uid="{00000000-0005-0000-0000-000081010000}"/>
    <cellStyle name="_PRO4-05年テーマ" xfId="387" xr:uid="{00000000-0005-0000-0000-000082010000}"/>
    <cellStyle name="_Quan ly cong doan-SM" xfId="388" xr:uid="{00000000-0005-0000-0000-000083010000}"/>
    <cellStyle name="_Quan ly PP-SM(ok)" xfId="389" xr:uid="{00000000-0005-0000-0000-000084010000}"/>
    <cellStyle name="_REPORT-CLA-08" xfId="390" xr:uid="{00000000-0005-0000-0000-000085010000}"/>
    <cellStyle name="_Sales" xfId="391" xr:uid="{00000000-0005-0000-0000-000086010000}"/>
    <cellStyle name="_Sales_1" xfId="392" xr:uid="{00000000-0005-0000-0000-000087010000}"/>
    <cellStyle name="_Sales_2" xfId="393" xr:uid="{00000000-0005-0000-0000-000088010000}"/>
    <cellStyle name="_Sales_4" xfId="394" xr:uid="{00000000-0005-0000-0000-000089010000}"/>
    <cellStyle name="_Sales_4_New Stem comp Machine Plan 2008" xfId="395" xr:uid="{00000000-0005-0000-0000-00008A010000}"/>
    <cellStyle name="_Sales_4_New Stem comp Machine Plan 2008_1" xfId="396" xr:uid="{00000000-0005-0000-0000-00008B010000}"/>
    <cellStyle name="_Sales_4_New Stem comp Machine Plan 2008_27DEC2007" xfId="397" xr:uid="{00000000-0005-0000-0000-00008C010000}"/>
    <cellStyle name="_Sales_4_New Stem comp Machine Plan 2008_Copy of Sơ đồ công đoạn -Rod &amp; FP-19Dec07" xfId="398" xr:uid="{00000000-0005-0000-0000-00008D010000}"/>
    <cellStyle name="_Sales_4_New Stem comp Machine Plan 2008_PRO2 20-DEC" xfId="399" xr:uid="{00000000-0005-0000-0000-00008E010000}"/>
    <cellStyle name="_Sales_4_New Stem comp Machine Plan 2008_REPORT~1" xfId="400" xr:uid="{00000000-0005-0000-0000-00008F010000}"/>
    <cellStyle name="_Sales_5" xfId="401" xr:uid="{00000000-0005-0000-0000-000090010000}"/>
    <cellStyle name="_Sales_6" xfId="402" xr:uid="{00000000-0005-0000-0000-000091010000}"/>
    <cellStyle name="_Sales_7" xfId="403" xr:uid="{00000000-0005-0000-0000-000092010000}"/>
    <cellStyle name="_Sales_8" xfId="404" xr:uid="{00000000-0005-0000-0000-000093010000}"/>
    <cellStyle name="_Sales_9" xfId="405" xr:uid="{00000000-0005-0000-0000-000094010000}"/>
    <cellStyle name="_Sales_A" xfId="406" xr:uid="{00000000-0005-0000-0000-000095010000}"/>
    <cellStyle name="_Sales_B" xfId="407" xr:uid="{00000000-0005-0000-0000-000096010000}"/>
    <cellStyle name="_ST comp-12-2002" xfId="408" xr:uid="{00000000-0005-0000-0000-000097010000}"/>
    <cellStyle name="_ST comp-12-2002_Flow.Chart-Short" xfId="409" xr:uid="{00000000-0005-0000-0000-000098010000}"/>
    <cellStyle name="_ST comp-12-2002_PCCVTRDiem" xfId="410" xr:uid="{00000000-0005-0000-0000-000099010000}"/>
    <cellStyle name="_Stem comp machine" xfId="411" xr:uid="{00000000-0005-0000-0000-00009A010000}"/>
    <cellStyle name="_TG-TH" xfId="412" xr:uid="{00000000-0005-0000-0000-00009B010000}"/>
    <cellStyle name="_TG-TH_1" xfId="413" xr:uid="{00000000-0005-0000-0000-00009C010000}"/>
    <cellStyle name="_TG-TH_2" xfId="414" xr:uid="{00000000-0005-0000-0000-00009D010000}"/>
    <cellStyle name="_TG-TH_3" xfId="415" xr:uid="{00000000-0005-0000-0000-00009E010000}"/>
    <cellStyle name="_TG-TH_4" xfId="416" xr:uid="{00000000-0005-0000-0000-00009F010000}"/>
    <cellStyle name="_TketKK29-6-02" xfId="417" xr:uid="{00000000-0005-0000-0000-0000A0010000}"/>
    <cellStyle name="_TketKK29-6-02_Flow.Chart-Short" xfId="418" xr:uid="{00000000-0005-0000-0000-0000A1010000}"/>
    <cellStyle name="_TketKK29-6-02_PCCVTRDiem" xfId="419" xr:uid="{00000000-0005-0000-0000-0000A2010000}"/>
    <cellStyle name="_tO mR lONG" xfId="420" xr:uid="{00000000-0005-0000-0000-0000A3010000}"/>
    <cellStyle name="_Tong hop" xfId="421" xr:uid="{00000000-0005-0000-0000-0000A4010000}"/>
    <cellStyle name="_Tong hop 30-06-05" xfId="422" xr:uid="{00000000-0005-0000-0000-0000A5010000}"/>
    <cellStyle name="_tong hop ke hoach nhan luc" xfId="423" xr:uid="{00000000-0005-0000-0000-0000A6010000}"/>
    <cellStyle name="_tong hop su dung phieu" xfId="424" xr:uid="{00000000-0005-0000-0000-0000A7010000}"/>
    <cellStyle name="_Tong ket DACT 2003 " xfId="425" xr:uid="{00000000-0005-0000-0000-0000A8010000}"/>
    <cellStyle name="_Tong ket DACT 2003 2003" xfId="426" xr:uid="{00000000-0005-0000-0000-0000A9010000}"/>
    <cellStyle name="_Tong ket DAPH-2003" xfId="427" xr:uid="{00000000-0005-0000-0000-0000AA010000}"/>
    <cellStyle name="_Tong ket Plate" xfId="428" xr:uid="{00000000-0005-0000-0000-0000AB010000}"/>
    <cellStyle name="_tong ket-Plate" xfId="429" xr:uid="{00000000-0005-0000-0000-0000AC010000}"/>
    <cellStyle name="_TONGHOPMASOK.KE 30-12-2004" xfId="430" xr:uid="{00000000-0005-0000-0000-0000AD010000}"/>
    <cellStyle name="_Total-NG-Outer-12" xfId="431" xr:uid="{00000000-0005-0000-0000-0000AE010000}"/>
    <cellStyle name="_Total-NG-Outer-3" xfId="432" xr:uid="{00000000-0005-0000-0000-0000AF010000}"/>
    <cellStyle name="_Total-NG-Outer-7,8" xfId="433" xr:uid="{00000000-0005-0000-0000-0000B0010000}"/>
    <cellStyle name="_Total-NG-Plate" xfId="434" xr:uid="{00000000-0005-0000-0000-0000B1010000}"/>
    <cellStyle name="_TSCD" xfId="435" xr:uid="{00000000-0005-0000-0000-0000B2010000}"/>
    <cellStyle name="_XB511-12-2002" xfId="436" xr:uid="{00000000-0005-0000-0000-0000B3010000}"/>
    <cellStyle name="_XB511-12-2002_Flow.Chart-Short" xfId="437" xr:uid="{00000000-0005-0000-0000-0000B4010000}"/>
    <cellStyle name="_XB511-12-2002_PCCVTRDiem" xfId="438" xr:uid="{00000000-0005-0000-0000-0000B5010000}"/>
    <cellStyle name="_Xuat-Nhap L.Cord-12-2002" xfId="439" xr:uid="{00000000-0005-0000-0000-0000B6010000}"/>
    <cellStyle name="_Xuat-Nhap L.Cord-12-2002_Flow.Chart-Short" xfId="440" xr:uid="{00000000-0005-0000-0000-0000B7010000}"/>
    <cellStyle name="_Xuat-Nhap L.Cord-12-2002_PCCVTRDiem" xfId="441" xr:uid="{00000000-0005-0000-0000-0000B8010000}"/>
    <cellStyle name="_工程計画 Plate" xfId="442" xr:uid="{00000000-0005-0000-0000-0000B9010000}"/>
    <cellStyle name="~1" xfId="443" xr:uid="{00000000-0005-0000-0000-0000BA010000}"/>
    <cellStyle name="’Ê‰Ý [0.00]_Add and Red2" xfId="444" xr:uid="{00000000-0005-0000-0000-0000BB010000}"/>
    <cellStyle name="’Ê‰Ý_Add and Red2" xfId="445" xr:uid="{00000000-0005-0000-0000-0000BC010000}"/>
    <cellStyle name="–¢’è‹`" xfId="446" xr:uid="{00000000-0005-0000-0000-0000BD010000}"/>
    <cellStyle name="=C:\WINNT35\SYSTEM32\COMMAND.COM" xfId="447" xr:uid="{00000000-0005-0000-0000-0000BE010000}"/>
    <cellStyle name="‡" xfId="448" xr:uid="{00000000-0005-0000-0000-0000BF010000}"/>
    <cellStyle name="‡_04年NF100廉価コスト" xfId="449" xr:uid="{00000000-0005-0000-0000-0000C0010000}"/>
    <cellStyle name="‡_BOOK1" xfId="450" xr:uid="{00000000-0005-0000-0000-0000C1010000}"/>
    <cellStyle name="‡_kevt_cost_spl (2)" xfId="451" xr:uid="{00000000-0005-0000-0000-0000C2010000}"/>
    <cellStyle name="‡_KFMA Spec Compare" xfId="452" xr:uid="{00000000-0005-0000-0000-0000C3010000}"/>
    <cellStyle name="‡_KFMA Spec Compare_Book1" xfId="453" xr:uid="{00000000-0005-0000-0000-0000C4010000}"/>
    <cellStyle name="‡_KFMA Spec Compare_Book1_LCP-renka_r53" xfId="454" xr:uid="{00000000-0005-0000-0000-0000C5010000}"/>
    <cellStyle name="‡_KFMA Spec Compare_KFVP-e_Study_r040" xfId="455" xr:uid="{00000000-0005-0000-0000-0000C6010000}"/>
    <cellStyle name="‡_KFMA Spec Compare_KFVP-e_Study_r040_LCP-renka_r53" xfId="456" xr:uid="{00000000-0005-0000-0000-0000C7010000}"/>
    <cellStyle name="‡_KFMA Spec Compare_KFVPネシア供給部品改訂 (1)" xfId="457" xr:uid="{00000000-0005-0000-0000-0000C8010000}"/>
    <cellStyle name="‡_KFMA Spec Compare_KFVPネシア供給部品改訂 (1)_LCP-renka_r53" xfId="458" xr:uid="{00000000-0005-0000-0000-0000C9010000}"/>
    <cellStyle name="‡_KFMA Spec Compare_LCP-renka_r53" xfId="459" xr:uid="{00000000-0005-0000-0000-0000CA010000}"/>
    <cellStyle name="‡_KFMA Spec Compare_TotalCost_KFV-KVFP" xfId="460" xr:uid="{00000000-0005-0000-0000-0000CB010000}"/>
    <cellStyle name="‡_KFMA Spec Compare_TotalCost_KFV-KVFP (2)" xfId="461" xr:uid="{00000000-0005-0000-0000-0000CC010000}"/>
    <cellStyle name="‡_KFMA Spec Compare_TotalCost_KFV-KVFP (2)_LCP-renka_r53" xfId="462" xr:uid="{00000000-0005-0000-0000-0000CD010000}"/>
    <cellStyle name="‡_KFMA Spec Compare_TotalCost_KFV-KVFP_LCP-renka_r53" xfId="463" xr:uid="{00000000-0005-0000-0000-0000CE010000}"/>
    <cellStyle name="‡_KFMA Spec Compare_最終コストKFV-P" xfId="464" xr:uid="{00000000-0005-0000-0000-0000CF010000}"/>
    <cellStyle name="‡_KFMA Spec Compare_最終コストKFV-P_LCP-renka_r53" xfId="465" xr:uid="{00000000-0005-0000-0000-0000D0010000}"/>
    <cellStyle name="‡_KFMA-Invest" xfId="466" xr:uid="{00000000-0005-0000-0000-0000D1010000}"/>
    <cellStyle name="‡_KFMA-Invest_Book1" xfId="467" xr:uid="{00000000-0005-0000-0000-0000D2010000}"/>
    <cellStyle name="‡_KFMA-Invest_Book1_LCP-renka_r53" xfId="468" xr:uid="{00000000-0005-0000-0000-0000D3010000}"/>
    <cellStyle name="‡_KFMA-Invest_KFVP-e_Study_r040" xfId="469" xr:uid="{00000000-0005-0000-0000-0000D4010000}"/>
    <cellStyle name="‡_KFMA-Invest_KFVP-e_Study_r040_LCP-renka_r53" xfId="470" xr:uid="{00000000-0005-0000-0000-0000D5010000}"/>
    <cellStyle name="‡_KFMA-Invest_KFVPネシア供給部品改訂 (1)" xfId="471" xr:uid="{00000000-0005-0000-0000-0000D6010000}"/>
    <cellStyle name="‡_KFMA-Invest_KFVPネシア供給部品改訂 (1)_LCP-renka_r53" xfId="472" xr:uid="{00000000-0005-0000-0000-0000D7010000}"/>
    <cellStyle name="‡_KFMA-Invest_LCP-renka_r53" xfId="473" xr:uid="{00000000-0005-0000-0000-0000D8010000}"/>
    <cellStyle name="‡_KFMA-Invest_TotalCost_KFV-KVFP" xfId="474" xr:uid="{00000000-0005-0000-0000-0000D9010000}"/>
    <cellStyle name="‡_KFMA-Invest_TotalCost_KFV-KVFP (2)" xfId="475" xr:uid="{00000000-0005-0000-0000-0000DA010000}"/>
    <cellStyle name="‡_KFMA-Invest_TotalCost_KFV-KVFP (2)_LCP-renka_r53" xfId="476" xr:uid="{00000000-0005-0000-0000-0000DB010000}"/>
    <cellStyle name="‡_KFMA-Invest_TotalCost_KFV-KVFP_LCP-renka_r53" xfId="477" xr:uid="{00000000-0005-0000-0000-0000DC010000}"/>
    <cellStyle name="‡_KFMA-Invest_最終コストKFV-P" xfId="478" xr:uid="{00000000-0005-0000-0000-0000DD010000}"/>
    <cellStyle name="‡_KFMA-Invest_最終コストKFV-P_LCP-renka_r53" xfId="479" xr:uid="{00000000-0005-0000-0000-0000DE010000}"/>
    <cellStyle name="‡_KFMAu@ENGiHA÷inu±" xfId="480" xr:uid="{00000000-0005-0000-0000-0000DF010000}"/>
    <cellStyle name="‡_KFMAu@ENGiHA÷inu±_Book1" xfId="481" xr:uid="{00000000-0005-0000-0000-0000E0010000}"/>
    <cellStyle name="‡_KFMAu@ENGiHA÷inu±_KFVP-e_Study_r040" xfId="482" xr:uid="{00000000-0005-0000-0000-0000E1010000}"/>
    <cellStyle name="‡_KFMAu@ENGiHA÷inu±_TotalCost_KFV-KVFP" xfId="483" xr:uid="{00000000-0005-0000-0000-0000E2010000}"/>
    <cellStyle name="‡_KFMAu@ENGiHA÷inu±_TotalCost_KFV-KVFP (2)" xfId="484" xr:uid="{00000000-0005-0000-0000-0000E3010000}"/>
    <cellStyle name="‡_KFMAu@ENGiHA÷inu±_最終コストKFV-P" xfId="485" xr:uid="{00000000-0005-0000-0000-0000E4010000}"/>
    <cellStyle name="‡_KFMAü@ENGìHÆ÷înù±" xfId="486" xr:uid="{00000000-0005-0000-0000-0000E5010000}"/>
    <cellStyle name="‡_KFMAü@ENGìHÆ÷înù±_Book1" xfId="487" xr:uid="{00000000-0005-0000-0000-0000E6010000}"/>
    <cellStyle name="‡_KFMAü@ENGìHÆ÷înù±_Book1_LCP-renka_r53" xfId="488" xr:uid="{00000000-0005-0000-0000-0000E7010000}"/>
    <cellStyle name="‡_KFMAü@ENGìHÆ÷înù±_KFVP-e_Study_r040" xfId="489" xr:uid="{00000000-0005-0000-0000-0000E8010000}"/>
    <cellStyle name="‡_KFMAü@ENGìHÆ÷înù±_KFVP-e_Study_r040_LCP-renka_r53" xfId="490" xr:uid="{00000000-0005-0000-0000-0000E9010000}"/>
    <cellStyle name="‡_KFMAü@ENGìHÆ÷înù±_LCP-renka_r53" xfId="491" xr:uid="{00000000-0005-0000-0000-0000EA010000}"/>
    <cellStyle name="‡_KFMAü@ENGìHÆ÷înù±_TotalCost_KFV-KVFP" xfId="492" xr:uid="{00000000-0005-0000-0000-0000EB010000}"/>
    <cellStyle name="‡_KFMAü@ENGìHÆ÷înù±_TotalCost_KFV-KVFP (2)" xfId="493" xr:uid="{00000000-0005-0000-0000-0000EC010000}"/>
    <cellStyle name="‡_KFMAü@ENGìHÆ÷înù±_TotalCost_KFV-KVFP (2)_LCP-renka_r53" xfId="494" xr:uid="{00000000-0005-0000-0000-0000ED010000}"/>
    <cellStyle name="‡_KFMAü@ENGìHÆ÷înù±_TotalCost_KFV-KVFP_LCP-renka_r53" xfId="495" xr:uid="{00000000-0005-0000-0000-0000EE010000}"/>
    <cellStyle name="‡_KFMAü@ENGìHÆ÷înù±_最終コストKFV-P" xfId="496" xr:uid="{00000000-0005-0000-0000-0000EF010000}"/>
    <cellStyle name="‡_KFMAü@ENGìHÆ÷înù±_最終コストKFV-P_LCP-renka_r53" xfId="497" xr:uid="{00000000-0005-0000-0000-0000F0010000}"/>
    <cellStyle name="‡_KFVP ENG IN-PLANT 04" xfId="498" xr:uid="{00000000-0005-0000-0000-0000F1010000}"/>
    <cellStyle name="‡_KFVP-e_Study_r042" xfId="499" xr:uid="{00000000-0005-0000-0000-0000F2010000}"/>
    <cellStyle name="‡_KFVPネシア供給部品改訂 (1)" xfId="500" xr:uid="{00000000-0005-0000-0000-0000F3010000}"/>
    <cellStyle name="‡_KFVPネシア供給部品改訂 (1)_LCP-renka_r53" xfId="501" xr:uid="{00000000-0005-0000-0000-0000F4010000}"/>
    <cellStyle name="‡_LCP-renka_r53" xfId="502" xr:uid="{00000000-0005-0000-0000-0000F5010000}"/>
    <cellStyle name="‡_STA-DRP" xfId="503" xr:uid="{00000000-0005-0000-0000-0000F6010000}"/>
    <cellStyle name="‡_STA-DRP_04年NF100廉価コスト" xfId="504" xr:uid="{00000000-0005-0000-0000-0000F7010000}"/>
    <cellStyle name="‡_STA-DRP_BOOK1" xfId="505" xr:uid="{00000000-0005-0000-0000-0000F8010000}"/>
    <cellStyle name="‡_STA-DRP_kevt_cost_spl (2)" xfId="506" xr:uid="{00000000-0005-0000-0000-0000F9010000}"/>
    <cellStyle name="‡_STA-DRP_KFMA Spec Compare" xfId="507" xr:uid="{00000000-0005-0000-0000-0000FA010000}"/>
    <cellStyle name="‡_STA-DRP_KFMA Spec Compare_Book1" xfId="508" xr:uid="{00000000-0005-0000-0000-0000FB010000}"/>
    <cellStyle name="‡_STA-DRP_KFMA Spec Compare_Book1_LCP-renka_r53" xfId="509" xr:uid="{00000000-0005-0000-0000-0000FC010000}"/>
    <cellStyle name="‡_STA-DRP_KFMA Spec Compare_KFVP-e_Study_r040" xfId="510" xr:uid="{00000000-0005-0000-0000-0000FD010000}"/>
    <cellStyle name="‡_STA-DRP_KFMA Spec Compare_KFVP-e_Study_r040_LCP-renka_r53" xfId="511" xr:uid="{00000000-0005-0000-0000-0000FE010000}"/>
    <cellStyle name="‡_STA-DRP_KFMA Spec Compare_KFVPネシア供給部品改訂 (1)" xfId="512" xr:uid="{00000000-0005-0000-0000-0000FF010000}"/>
    <cellStyle name="‡_STA-DRP_KFMA Spec Compare_KFVPネシア供給部品改訂 (1)_LCP-renka_r53" xfId="513" xr:uid="{00000000-0005-0000-0000-000000020000}"/>
    <cellStyle name="‡_STA-DRP_KFMA Spec Compare_LCP-renka_r53" xfId="514" xr:uid="{00000000-0005-0000-0000-000001020000}"/>
    <cellStyle name="‡_STA-DRP_KFMA Spec Compare_TotalCost_KFV-KVFP" xfId="515" xr:uid="{00000000-0005-0000-0000-000002020000}"/>
    <cellStyle name="‡_STA-DRP_KFMA Spec Compare_TotalCost_KFV-KVFP (2)" xfId="516" xr:uid="{00000000-0005-0000-0000-000003020000}"/>
    <cellStyle name="‡_STA-DRP_KFMA Spec Compare_TotalCost_KFV-KVFP (2)_LCP-renka_r53" xfId="517" xr:uid="{00000000-0005-0000-0000-000004020000}"/>
    <cellStyle name="‡_STA-DRP_KFMA Spec Compare_TotalCost_KFV-KVFP_LCP-renka_r53" xfId="518" xr:uid="{00000000-0005-0000-0000-000005020000}"/>
    <cellStyle name="‡_STA-DRP_KFMA Spec Compare_最終コストKFV-P" xfId="519" xr:uid="{00000000-0005-0000-0000-000006020000}"/>
    <cellStyle name="‡_STA-DRP_KFMA Spec Compare_最終コストKFV-P_LCP-renka_r53" xfId="520" xr:uid="{00000000-0005-0000-0000-000007020000}"/>
    <cellStyle name="‡_STA-DRP_KFMA-Invest" xfId="521" xr:uid="{00000000-0005-0000-0000-000008020000}"/>
    <cellStyle name="‡_STA-DRP_KFMA-Invest_Book1" xfId="522" xr:uid="{00000000-0005-0000-0000-000009020000}"/>
    <cellStyle name="‡_STA-DRP_KFMA-Invest_Book1_LCP-renka_r53" xfId="523" xr:uid="{00000000-0005-0000-0000-00000A020000}"/>
    <cellStyle name="‡_STA-DRP_KFMA-Invest_KFVP-e_Study_r040" xfId="524" xr:uid="{00000000-0005-0000-0000-00000B020000}"/>
    <cellStyle name="‡_STA-DRP_KFMA-Invest_KFVP-e_Study_r040_LCP-renka_r53" xfId="525" xr:uid="{00000000-0005-0000-0000-00000C020000}"/>
    <cellStyle name="‡_STA-DRP_KFMA-Invest_KFVPネシア供給部品改訂 (1)" xfId="526" xr:uid="{00000000-0005-0000-0000-00000D020000}"/>
    <cellStyle name="‡_STA-DRP_KFMA-Invest_KFVPネシア供給部品改訂 (1)_LCP-renka_r53" xfId="527" xr:uid="{00000000-0005-0000-0000-00000E020000}"/>
    <cellStyle name="‡_STA-DRP_KFMA-Invest_LCP-renka_r53" xfId="528" xr:uid="{00000000-0005-0000-0000-00000F020000}"/>
    <cellStyle name="‡_STA-DRP_KFMA-Invest_TotalCost_KFV-KVFP" xfId="529" xr:uid="{00000000-0005-0000-0000-000010020000}"/>
    <cellStyle name="‡_STA-DRP_KFMA-Invest_TotalCost_KFV-KVFP (2)" xfId="530" xr:uid="{00000000-0005-0000-0000-000011020000}"/>
    <cellStyle name="‡_STA-DRP_KFMA-Invest_TotalCost_KFV-KVFP (2)_LCP-renka_r53" xfId="531" xr:uid="{00000000-0005-0000-0000-000012020000}"/>
    <cellStyle name="‡_STA-DRP_KFMA-Invest_TotalCost_KFV-KVFP_LCP-renka_r53" xfId="532" xr:uid="{00000000-0005-0000-0000-000013020000}"/>
    <cellStyle name="‡_STA-DRP_KFMA-Invest_最終コストKFV-P" xfId="533" xr:uid="{00000000-0005-0000-0000-000014020000}"/>
    <cellStyle name="‡_STA-DRP_KFMA-Invest_最終コストKFV-P_LCP-renka_r53" xfId="534" xr:uid="{00000000-0005-0000-0000-000015020000}"/>
    <cellStyle name="‡_STA-DRP_KFMAu@ENGiHA÷inu±" xfId="535" xr:uid="{00000000-0005-0000-0000-000016020000}"/>
    <cellStyle name="‡_STA-DRP_KFMAu@ENGiHA÷inu±_Book1" xfId="536" xr:uid="{00000000-0005-0000-0000-000017020000}"/>
    <cellStyle name="‡_STA-DRP_KFMAu@ENGiHA÷inu±_KFVP-e_Study_r040" xfId="537" xr:uid="{00000000-0005-0000-0000-000018020000}"/>
    <cellStyle name="‡_STA-DRP_KFMAu@ENGiHA÷inu±_TotalCost_KFV-KVFP" xfId="538" xr:uid="{00000000-0005-0000-0000-000019020000}"/>
    <cellStyle name="‡_STA-DRP_KFMAu@ENGiHA÷inu±_TotalCost_KFV-KVFP (2)" xfId="539" xr:uid="{00000000-0005-0000-0000-00001A020000}"/>
    <cellStyle name="‡_STA-DRP_KFMAu@ENGiHA÷inu±_最終コストKFV-P" xfId="540" xr:uid="{00000000-0005-0000-0000-00001B020000}"/>
    <cellStyle name="‡_STA-DRP_KFMAü@ENGìHÆ÷înù±" xfId="541" xr:uid="{00000000-0005-0000-0000-00001C020000}"/>
    <cellStyle name="‡_STA-DRP_KFMAü@ENGìHÆ÷înù±_Book1" xfId="542" xr:uid="{00000000-0005-0000-0000-00001D020000}"/>
    <cellStyle name="‡_STA-DRP_KFMAü@ENGìHÆ÷înù±_Book1_LCP-renka_r53" xfId="543" xr:uid="{00000000-0005-0000-0000-00001E020000}"/>
    <cellStyle name="‡_STA-DRP_KFMAü@ENGìHÆ÷înù±_KFVP-e_Study_r040" xfId="544" xr:uid="{00000000-0005-0000-0000-00001F020000}"/>
    <cellStyle name="‡_STA-DRP_KFMAü@ENGìHÆ÷înù±_KFVP-e_Study_r040_LCP-renka_r53" xfId="545" xr:uid="{00000000-0005-0000-0000-000020020000}"/>
    <cellStyle name="‡_STA-DRP_KFMAü@ENGìHÆ÷înù±_LCP-renka_r53" xfId="546" xr:uid="{00000000-0005-0000-0000-000021020000}"/>
    <cellStyle name="‡_STA-DRP_KFMAü@ENGìHÆ÷înù±_TotalCost_KFV-KVFP" xfId="547" xr:uid="{00000000-0005-0000-0000-000022020000}"/>
    <cellStyle name="‡_STA-DRP_KFMAü@ENGìHÆ÷înù±_TotalCost_KFV-KVFP (2)" xfId="548" xr:uid="{00000000-0005-0000-0000-000023020000}"/>
    <cellStyle name="‡_STA-DRP_KFMAü@ENGìHÆ÷înù±_TotalCost_KFV-KVFP (2)_LCP-renka_r53" xfId="549" xr:uid="{00000000-0005-0000-0000-000024020000}"/>
    <cellStyle name="‡_STA-DRP_KFMAü@ENGìHÆ÷înù±_TotalCost_KFV-KVFP_LCP-renka_r53" xfId="550" xr:uid="{00000000-0005-0000-0000-000025020000}"/>
    <cellStyle name="‡_STA-DRP_KFMAü@ENGìHÆ÷înù±_最終コストKFV-P" xfId="551" xr:uid="{00000000-0005-0000-0000-000026020000}"/>
    <cellStyle name="‡_STA-DRP_KFMAü@ENGìHÆ÷înù±_最終コストKFV-P_LCP-renka_r53" xfId="552" xr:uid="{00000000-0005-0000-0000-000027020000}"/>
    <cellStyle name="‡_STA-DRP_KFVP ENG IN-PLANT 04" xfId="553" xr:uid="{00000000-0005-0000-0000-000028020000}"/>
    <cellStyle name="‡_STA-DRP_KFVP-e_Study_r042" xfId="554" xr:uid="{00000000-0005-0000-0000-000029020000}"/>
    <cellStyle name="‡_STA-DRP_KFVPネシア供給部品改訂 (1)" xfId="555" xr:uid="{00000000-0005-0000-0000-00002A020000}"/>
    <cellStyle name="‡_STA-DRP_KFVPネシア供給部品改訂 (1)_LCP-renka_r53" xfId="556" xr:uid="{00000000-0005-0000-0000-00002B020000}"/>
    <cellStyle name="‡_STA-DRP_LCP-renka_r53" xfId="557" xr:uid="{00000000-0005-0000-0000-00002C020000}"/>
    <cellStyle name="‡_STA-DRP_struct.kevt.eng-cost (3)" xfId="558" xr:uid="{00000000-0005-0000-0000-00002D020000}"/>
    <cellStyle name="‡_STA-DRP_タイKRST情報TOSS" xfId="559" xr:uid="{00000000-0005-0000-0000-00002E020000}"/>
    <cellStyle name="‡_STA-DRP_タイ部品現調効果コスト" xfId="560" xr:uid="{00000000-0005-0000-0000-00002F020000}"/>
    <cellStyle name="‡_struct.kevt.eng-cost (3)" xfId="561" xr:uid="{00000000-0005-0000-0000-000030020000}"/>
    <cellStyle name="‡_タイKRST情報TOSS" xfId="562" xr:uid="{00000000-0005-0000-0000-000031020000}"/>
    <cellStyle name="‡_タイ部品現調効果コスト" xfId="563" xr:uid="{00000000-0005-0000-0000-000032020000}"/>
    <cellStyle name="•W€_Add and Red" xfId="564" xr:uid="{00000000-0005-0000-0000-000033020000}"/>
    <cellStyle name="•W_’·Šú‰p•¶" xfId="565" xr:uid="{00000000-0005-0000-0000-000034020000}"/>
    <cellStyle name="caE[0]_Book1" xfId="566" xr:uid="{00000000-0005-0000-0000-000035020000}"/>
    <cellStyle name="caE_Book1" xfId="567" xr:uid="{00000000-0005-0000-0000-000036020000}"/>
    <cellStyle name="eE_Book1" xfId="568" xr:uid="{00000000-0005-0000-0000-000037020000}"/>
    <cellStyle name="ÊÝ [0.00]_      " xfId="569" xr:uid="{00000000-0005-0000-0000-000038020000}"/>
    <cellStyle name="EY [0.00]_LOCAL PARTS PRICE" xfId="570" xr:uid="{00000000-0005-0000-0000-000039020000}"/>
    <cellStyle name="ÊÝ_      " xfId="571" xr:uid="{00000000-0005-0000-0000-00003A020000}"/>
    <cellStyle name="EY_LOCAL PARTS PRICE" xfId="572" xr:uid="{00000000-0005-0000-0000-00003B020000}"/>
    <cellStyle name="W_\" xfId="573" xr:uid="{00000000-0005-0000-0000-00003C020000}"/>
    <cellStyle name="Y? [0]_Book1" xfId="574" xr:uid="{00000000-0005-0000-0000-00003D020000}"/>
    <cellStyle name="Y?_Book1" xfId="575" xr:uid="{00000000-0005-0000-0000-00003E020000}"/>
    <cellStyle name="1" xfId="576" xr:uid="{00000000-0005-0000-0000-00003F020000}"/>
    <cellStyle name="1_Book1" xfId="577" xr:uid="{00000000-0005-0000-0000-000040020000}"/>
    <cellStyle name="15" xfId="578" xr:uid="{00000000-0005-0000-0000-000041020000}"/>
    <cellStyle name="¹éºÐÀ²_      " xfId="579" xr:uid="{00000000-0005-0000-0000-000042020000}"/>
    <cellStyle name="1eoDA2_±aA，" xfId="580" xr:uid="{00000000-0005-0000-0000-000043020000}"/>
    <cellStyle name="¹éºÐÀ²_±âÅ¸" xfId="581" xr:uid="{00000000-0005-0000-0000-000044020000}"/>
    <cellStyle name="2" xfId="582" xr:uid="{00000000-0005-0000-0000-000045020000}"/>
    <cellStyle name="20" xfId="583" xr:uid="{00000000-0005-0000-0000-000046020000}"/>
    <cellStyle name="3" xfId="584" xr:uid="{00000000-0005-0000-0000-000047020000}"/>
    <cellStyle name="4" xfId="585" xr:uid="{00000000-0005-0000-0000-000048020000}"/>
    <cellStyle name="52" xfId="586" xr:uid="{00000000-0005-0000-0000-000049020000}"/>
    <cellStyle name="6" xfId="587" xr:uid="{00000000-0005-0000-0000-00004A020000}"/>
    <cellStyle name="a" xfId="588" xr:uid="{00000000-0005-0000-0000-00004B020000}"/>
    <cellStyle name="ÅëÈ­ [0]_      " xfId="589" xr:uid="{00000000-0005-0000-0000-00004C020000}"/>
    <cellStyle name="AeE- [0]_±aA，" xfId="590" xr:uid="{00000000-0005-0000-0000-00004D020000}"/>
    <cellStyle name="ÅëÈ­ [0]_±âÅ¸" xfId="591" xr:uid="{00000000-0005-0000-0000-00004E020000}"/>
    <cellStyle name="AeE­ [0]_INQUIRY ¿?¾÷AßAø " xfId="592" xr:uid="{00000000-0005-0000-0000-00004F020000}"/>
    <cellStyle name="ÅëÈ­ [0]_L601CPT" xfId="593" xr:uid="{00000000-0005-0000-0000-000050020000}"/>
    <cellStyle name="ÅëÈ­_      " xfId="594" xr:uid="{00000000-0005-0000-0000-000051020000}"/>
    <cellStyle name="AeE-_±aA，" xfId="595" xr:uid="{00000000-0005-0000-0000-000052020000}"/>
    <cellStyle name="ÅëÈ­_±âÅ¸" xfId="596" xr:uid="{00000000-0005-0000-0000-000053020000}"/>
    <cellStyle name="AeE­_INQUIRY ¿?¾÷AßAø " xfId="597" xr:uid="{00000000-0005-0000-0000-000054020000}"/>
    <cellStyle name="ÅëÈ­_L601CPT" xfId="598" xr:uid="{00000000-0005-0000-0000-000055020000}"/>
    <cellStyle name="AT，¶ [0]_±aA，" xfId="599" xr:uid="{00000000-0005-0000-0000-000056020000}"/>
    <cellStyle name="AT，¶_±aA，" xfId="600" xr:uid="{00000000-0005-0000-0000-000057020000}"/>
    <cellStyle name="ÄÞ¸¶ [0]_      " xfId="601" xr:uid="{00000000-0005-0000-0000-000058020000}"/>
    <cellStyle name="AÞ¸¶ [0]_INQUIRY ¿?¾÷AßAø " xfId="602" xr:uid="{00000000-0005-0000-0000-000059020000}"/>
    <cellStyle name="ÄÞ¸¶ [0]_L601CPT" xfId="603" xr:uid="{00000000-0005-0000-0000-00005A020000}"/>
    <cellStyle name="ÄÞ¸¶_      " xfId="604" xr:uid="{00000000-0005-0000-0000-00005B020000}"/>
    <cellStyle name="AÞ¸¶_INQUIRY ¿?¾÷AßAø " xfId="605" xr:uid="{00000000-0005-0000-0000-00005C020000}"/>
    <cellStyle name="ÄÞ¸¶_L601CPT" xfId="606" xr:uid="{00000000-0005-0000-0000-00005D020000}"/>
    <cellStyle name="AutoFormat Options" xfId="607" xr:uid="{00000000-0005-0000-0000-00005E020000}"/>
    <cellStyle name="Body" xfId="608" xr:uid="{00000000-0005-0000-0000-00005F020000}"/>
    <cellStyle name="book" xfId="609" xr:uid="{00000000-0005-0000-0000-000060020000}"/>
    <cellStyle name="C?" xfId="610" xr:uid="{00000000-0005-0000-0000-000061020000}"/>
    <cellStyle name="C?AØ_¿?¾÷CoE² " xfId="611" xr:uid="{00000000-0005-0000-0000-000062020000}"/>
    <cellStyle name="C\AO_?￢°￡´c°e?1≫o" xfId="612" xr:uid="{00000000-0005-0000-0000-000063020000}"/>
    <cellStyle name="Ç¥ÁØ_      " xfId="613" xr:uid="{00000000-0005-0000-0000-000064020000}"/>
    <cellStyle name="C￥AØ_¿μ¾÷CoE² " xfId="614" xr:uid="{00000000-0005-0000-0000-000065020000}"/>
    <cellStyle name="Ç¥ÁØ_±³°¢¼ö·®" xfId="615" xr:uid="{00000000-0005-0000-0000-000066020000}"/>
    <cellStyle name="C￥AØ_Sheet1_¿μ¾÷CoE² " xfId="616" xr:uid="{00000000-0005-0000-0000-000067020000}"/>
    <cellStyle name="Calc Currency (0)" xfId="617" xr:uid="{00000000-0005-0000-0000-000068020000}"/>
    <cellStyle name="Calc Currency (2)" xfId="618" xr:uid="{00000000-0005-0000-0000-000069020000}"/>
    <cellStyle name="Calc Percent (0)" xfId="619" xr:uid="{00000000-0005-0000-0000-00006A020000}"/>
    <cellStyle name="Calc Percent (1)" xfId="620" xr:uid="{00000000-0005-0000-0000-00006B020000}"/>
    <cellStyle name="Calc Percent (2)" xfId="621" xr:uid="{00000000-0005-0000-0000-00006C020000}"/>
    <cellStyle name="Calc Units (0)" xfId="622" xr:uid="{00000000-0005-0000-0000-00006D020000}"/>
    <cellStyle name="Calc Units (1)" xfId="623" xr:uid="{00000000-0005-0000-0000-00006E020000}"/>
    <cellStyle name="Calc Units (2)" xfId="624" xr:uid="{00000000-0005-0000-0000-00006F020000}"/>
    <cellStyle name="category" xfId="625" xr:uid="{00000000-0005-0000-0000-000070020000}"/>
    <cellStyle name="C℀" xfId="626" xr:uid="{00000000-0005-0000-0000-000071020000}"/>
    <cellStyle name="Cerrency_Sheet2_XANGDAU" xfId="627" xr:uid="{00000000-0005-0000-0000-000072020000}"/>
    <cellStyle name="Chi phÝ kh¸c_Book1" xfId="628" xr:uid="{00000000-0005-0000-0000-000073020000}"/>
    <cellStyle name="CHUONG" xfId="629" xr:uid="{00000000-0005-0000-0000-000074020000}"/>
    <cellStyle name="clsAltData" xfId="630" xr:uid="{00000000-0005-0000-0000-000075020000}"/>
    <cellStyle name="clsAltMRVData" xfId="631" xr:uid="{00000000-0005-0000-0000-000076020000}"/>
    <cellStyle name="clsBlank" xfId="632" xr:uid="{00000000-0005-0000-0000-000077020000}"/>
    <cellStyle name="clsColumnHeader" xfId="633" xr:uid="{00000000-0005-0000-0000-000078020000}"/>
    <cellStyle name="clsData" xfId="634" xr:uid="{00000000-0005-0000-0000-000079020000}"/>
    <cellStyle name="clsDefault" xfId="635" xr:uid="{00000000-0005-0000-0000-00007A020000}"/>
    <cellStyle name="clsFooter" xfId="636" xr:uid="{00000000-0005-0000-0000-00007B020000}"/>
    <cellStyle name="clsIndexTableData" xfId="637" xr:uid="{00000000-0005-0000-0000-00007C020000}"/>
    <cellStyle name="clsIndexTableHdr" xfId="638" xr:uid="{00000000-0005-0000-0000-00007D020000}"/>
    <cellStyle name="clsIndexTableTitle" xfId="639" xr:uid="{00000000-0005-0000-0000-00007E020000}"/>
    <cellStyle name="clsMRVData" xfId="640" xr:uid="{00000000-0005-0000-0000-00007F020000}"/>
    <cellStyle name="clsReportFooter" xfId="641" xr:uid="{00000000-0005-0000-0000-000080020000}"/>
    <cellStyle name="clsReportHeader" xfId="642" xr:uid="{00000000-0005-0000-0000-000081020000}"/>
    <cellStyle name="clsRowHeader" xfId="643" xr:uid="{00000000-0005-0000-0000-000082020000}"/>
    <cellStyle name="clsScale" xfId="644" xr:uid="{00000000-0005-0000-0000-000083020000}"/>
    <cellStyle name="clsSection" xfId="645" xr:uid="{00000000-0005-0000-0000-000084020000}"/>
    <cellStyle name="Comma" xfId="1181" builtinId="3"/>
    <cellStyle name="Comma  - Style1" xfId="646" xr:uid="{00000000-0005-0000-0000-000086020000}"/>
    <cellStyle name="Comma  - Style2" xfId="647" xr:uid="{00000000-0005-0000-0000-000087020000}"/>
    <cellStyle name="Comma  - Style3" xfId="648" xr:uid="{00000000-0005-0000-0000-000088020000}"/>
    <cellStyle name="Comma  - Style4" xfId="649" xr:uid="{00000000-0005-0000-0000-000089020000}"/>
    <cellStyle name="Comma  - Style5" xfId="650" xr:uid="{00000000-0005-0000-0000-00008A020000}"/>
    <cellStyle name="Comma  - Style6" xfId="651" xr:uid="{00000000-0005-0000-0000-00008B020000}"/>
    <cellStyle name="Comma  - Style7" xfId="652" xr:uid="{00000000-0005-0000-0000-00008C020000}"/>
    <cellStyle name="Comma [00]" xfId="653" xr:uid="{00000000-0005-0000-0000-00008D020000}"/>
    <cellStyle name="Comma [1]" xfId="654" xr:uid="{00000000-0005-0000-0000-00008E020000}"/>
    <cellStyle name="Comma 12" xfId="1167" xr:uid="{00000000-0005-0000-0000-00008F020000}"/>
    <cellStyle name="Comma 2" xfId="655" xr:uid="{00000000-0005-0000-0000-000090020000}"/>
    <cellStyle name="Comma 2 2" xfId="656" xr:uid="{00000000-0005-0000-0000-000091020000}"/>
    <cellStyle name="Comma 3" xfId="657" xr:uid="{00000000-0005-0000-0000-000092020000}"/>
    <cellStyle name="Comma 3 2" xfId="658" xr:uid="{00000000-0005-0000-0000-000093020000}"/>
    <cellStyle name="Comma 4" xfId="659" xr:uid="{00000000-0005-0000-0000-000094020000}"/>
    <cellStyle name="Comma 5" xfId="660" xr:uid="{00000000-0005-0000-0000-000095020000}"/>
    <cellStyle name="Comma 6" xfId="661" xr:uid="{00000000-0005-0000-0000-000096020000}"/>
    <cellStyle name="Comma 7" xfId="662" xr:uid="{00000000-0005-0000-0000-000097020000}"/>
    <cellStyle name="Comma 8" xfId="663" xr:uid="{00000000-0005-0000-0000-000098020000}"/>
    <cellStyle name="comma zerodec" xfId="664" xr:uid="{00000000-0005-0000-0000-000099020000}"/>
    <cellStyle name="Comma0" xfId="665" xr:uid="{00000000-0005-0000-0000-00009A020000}"/>
    <cellStyle name="cong" xfId="666" xr:uid="{00000000-0005-0000-0000-00009B020000}"/>
    <cellStyle name="Curr⁢£_x000a__x0008__x000c__x000a_ဠ" xfId="667" xr:uid="{00000000-0005-0000-0000-00009C020000}"/>
    <cellStyle name="Curren - Style3" xfId="668" xr:uid="{00000000-0005-0000-0000-00009D020000}"/>
    <cellStyle name="Curren - Style4" xfId="669" xr:uid="{00000000-0005-0000-0000-00009E020000}"/>
    <cellStyle name="Currency [00]" xfId="670" xr:uid="{00000000-0005-0000-0000-00009F020000}"/>
    <cellStyle name="Currency0" xfId="671" xr:uid="{00000000-0005-0000-0000-0000A0020000}"/>
    <cellStyle name="Currency1" xfId="672" xr:uid="{00000000-0005-0000-0000-0000A1020000}"/>
    <cellStyle name="Date" xfId="673" xr:uid="{00000000-0005-0000-0000-0000A2020000}"/>
    <cellStyle name="Date Short" xfId="674" xr:uid="{00000000-0005-0000-0000-0000A3020000}"/>
    <cellStyle name="Date_3_BCTC_Viet" xfId="675" xr:uid="{00000000-0005-0000-0000-0000A4020000}"/>
    <cellStyle name="DAUDE" xfId="676" xr:uid="{00000000-0005-0000-0000-0000A5020000}"/>
    <cellStyle name="DELTA" xfId="677" xr:uid="{00000000-0005-0000-0000-0000A6020000}"/>
    <cellStyle name="Dezimal [0]_68574_Materialbedarfsliste" xfId="678" xr:uid="{00000000-0005-0000-0000-0000A7020000}"/>
    <cellStyle name="Dezimal_68574_Materialbedarfsliste" xfId="679" xr:uid="{00000000-0005-0000-0000-0000A8020000}"/>
    <cellStyle name="Dollar (zero dec)" xfId="680" xr:uid="{00000000-0005-0000-0000-0000A9020000}"/>
    <cellStyle name="Dziesi?tny [0]_Invoices2001Slovakia" xfId="681" xr:uid="{00000000-0005-0000-0000-0000AA020000}"/>
    <cellStyle name="Dziesi?tny_Invoices2001Slovakia" xfId="682" xr:uid="{00000000-0005-0000-0000-0000AB020000}"/>
    <cellStyle name="Dziesietny [0]_Invoices2001Slovakia" xfId="683" xr:uid="{00000000-0005-0000-0000-0000AC020000}"/>
    <cellStyle name="Dziesiętny [0]_Invoices2001Slovakia" xfId="684" xr:uid="{00000000-0005-0000-0000-0000AD020000}"/>
    <cellStyle name="Dziesietny [0]_Invoices2001Slovakia_01_Nha so 1_Dien" xfId="685" xr:uid="{00000000-0005-0000-0000-0000AE020000}"/>
    <cellStyle name="Dziesiętny [0]_Invoices2001Slovakia_01_Nha so 1_Dien" xfId="686" xr:uid="{00000000-0005-0000-0000-0000AF020000}"/>
    <cellStyle name="Dziesietny [0]_Invoices2001Slovakia_10_Nha so 10_Dien1" xfId="687" xr:uid="{00000000-0005-0000-0000-0000B0020000}"/>
    <cellStyle name="Dziesiętny [0]_Invoices2001Slovakia_10_Nha so 10_Dien1" xfId="688" xr:uid="{00000000-0005-0000-0000-0000B1020000}"/>
    <cellStyle name="Dziesietny [0]_Invoices2001Slovakia_Book1" xfId="689" xr:uid="{00000000-0005-0000-0000-0000B2020000}"/>
    <cellStyle name="Dziesiętny [0]_Invoices2001Slovakia_Book1" xfId="690" xr:uid="{00000000-0005-0000-0000-0000B3020000}"/>
    <cellStyle name="Dziesietny [0]_Invoices2001Slovakia_Book1_1" xfId="691" xr:uid="{00000000-0005-0000-0000-0000B4020000}"/>
    <cellStyle name="Dziesiętny [0]_Invoices2001Slovakia_Book1_1" xfId="692" xr:uid="{00000000-0005-0000-0000-0000B5020000}"/>
    <cellStyle name="Dziesietny [0]_Invoices2001Slovakia_Book1_1_Book1" xfId="693" xr:uid="{00000000-0005-0000-0000-0000B6020000}"/>
    <cellStyle name="Dziesiętny [0]_Invoices2001Slovakia_Book1_1_Book1" xfId="694" xr:uid="{00000000-0005-0000-0000-0000B7020000}"/>
    <cellStyle name="Dziesietny [0]_Invoices2001Slovakia_Book1_2" xfId="695" xr:uid="{00000000-0005-0000-0000-0000B8020000}"/>
    <cellStyle name="Dziesiętny [0]_Invoices2001Slovakia_Book1_2" xfId="696" xr:uid="{00000000-0005-0000-0000-0000B9020000}"/>
    <cellStyle name="Dziesietny [0]_Invoices2001Slovakia_d-uong+TDT" xfId="697" xr:uid="{00000000-0005-0000-0000-0000BA020000}"/>
    <cellStyle name="Dziesiętny [0]_Invoices2001Slovakia_Nhµ ®Ó xe" xfId="698" xr:uid="{00000000-0005-0000-0000-0000BB020000}"/>
    <cellStyle name="Dziesietny [0]_Invoices2001Slovakia_Nha bao ve(28-7-05)" xfId="699" xr:uid="{00000000-0005-0000-0000-0000BC020000}"/>
    <cellStyle name="Dziesiętny [0]_Invoices2001Slovakia_Nha bao ve(28-7-05)" xfId="700" xr:uid="{00000000-0005-0000-0000-0000BD020000}"/>
    <cellStyle name="Dziesietny [0]_Invoices2001Slovakia_NHA de xe nguyen du" xfId="701" xr:uid="{00000000-0005-0000-0000-0000BE020000}"/>
    <cellStyle name="Dziesiętny [0]_Invoices2001Slovakia_NHA de xe nguyen du" xfId="702" xr:uid="{00000000-0005-0000-0000-0000BF020000}"/>
    <cellStyle name="Dziesietny [0]_Invoices2001Slovakia_Nhalamviec VTC(25-1-05)" xfId="703" xr:uid="{00000000-0005-0000-0000-0000C0020000}"/>
    <cellStyle name="Dziesiętny [0]_Invoices2001Slovakia_Nhalamviec VTC(25-1-05)" xfId="704" xr:uid="{00000000-0005-0000-0000-0000C1020000}"/>
    <cellStyle name="Dziesietny [0]_Invoices2001Slovakia_t.nuoc(12-10-06)" xfId="705" xr:uid="{00000000-0005-0000-0000-0000C2020000}"/>
    <cellStyle name="Dziesiętny [0]_Invoices2001Slovakia_TDT KHANH HOA" xfId="706" xr:uid="{00000000-0005-0000-0000-0000C3020000}"/>
    <cellStyle name="Dziesietny [0]_Invoices2001Slovakia_TDT quangngai" xfId="707" xr:uid="{00000000-0005-0000-0000-0000C4020000}"/>
    <cellStyle name="Dziesiętny [0]_Invoices2001Slovakia_TDT quangngai" xfId="708" xr:uid="{00000000-0005-0000-0000-0000C5020000}"/>
    <cellStyle name="Dziesietny [0]_Invoices2001Slovakia_TMDT(10-5-06)" xfId="709" xr:uid="{00000000-0005-0000-0000-0000C6020000}"/>
    <cellStyle name="Dziesietny_Invoices2001Slovakia" xfId="710" xr:uid="{00000000-0005-0000-0000-0000C7020000}"/>
    <cellStyle name="Dziesiętny_Invoices2001Slovakia" xfId="711" xr:uid="{00000000-0005-0000-0000-0000C8020000}"/>
    <cellStyle name="Dziesietny_Invoices2001Slovakia_01_Nha so 1_Dien" xfId="712" xr:uid="{00000000-0005-0000-0000-0000C9020000}"/>
    <cellStyle name="Dziesiętny_Invoices2001Slovakia_01_Nha so 1_Dien" xfId="713" xr:uid="{00000000-0005-0000-0000-0000CA020000}"/>
    <cellStyle name="Dziesietny_Invoices2001Slovakia_10_Nha so 10_Dien1" xfId="714" xr:uid="{00000000-0005-0000-0000-0000CB020000}"/>
    <cellStyle name="Dziesiętny_Invoices2001Slovakia_10_Nha so 10_Dien1" xfId="715" xr:uid="{00000000-0005-0000-0000-0000CC020000}"/>
    <cellStyle name="Dziesietny_Invoices2001Slovakia_Book1" xfId="716" xr:uid="{00000000-0005-0000-0000-0000CD020000}"/>
    <cellStyle name="Dziesiętny_Invoices2001Slovakia_Book1" xfId="717" xr:uid="{00000000-0005-0000-0000-0000CE020000}"/>
    <cellStyle name="Dziesietny_Invoices2001Slovakia_Book1_1" xfId="718" xr:uid="{00000000-0005-0000-0000-0000CF020000}"/>
    <cellStyle name="Dziesiętny_Invoices2001Slovakia_Book1_1" xfId="719" xr:uid="{00000000-0005-0000-0000-0000D0020000}"/>
    <cellStyle name="Dziesietny_Invoices2001Slovakia_Book1_1_Book1" xfId="720" xr:uid="{00000000-0005-0000-0000-0000D1020000}"/>
    <cellStyle name="Dziesiętny_Invoices2001Slovakia_Book1_1_Book1" xfId="721" xr:uid="{00000000-0005-0000-0000-0000D2020000}"/>
    <cellStyle name="Dziesietny_Invoices2001Slovakia_Book1_2" xfId="722" xr:uid="{00000000-0005-0000-0000-0000D3020000}"/>
    <cellStyle name="Dziesiętny_Invoices2001Slovakia_Book1_2" xfId="723" xr:uid="{00000000-0005-0000-0000-0000D4020000}"/>
    <cellStyle name="Dziesietny_Invoices2001Slovakia_d-uong+TDT" xfId="724" xr:uid="{00000000-0005-0000-0000-0000D5020000}"/>
    <cellStyle name="Dziesiętny_Invoices2001Slovakia_Nhµ ®Ó xe" xfId="725" xr:uid="{00000000-0005-0000-0000-0000D6020000}"/>
    <cellStyle name="Dziesietny_Invoices2001Slovakia_Nha bao ve(28-7-05)" xfId="726" xr:uid="{00000000-0005-0000-0000-0000D7020000}"/>
    <cellStyle name="Dziesiętny_Invoices2001Slovakia_Nha bao ve(28-7-05)" xfId="727" xr:uid="{00000000-0005-0000-0000-0000D8020000}"/>
    <cellStyle name="Dziesietny_Invoices2001Slovakia_NHA de xe nguyen du" xfId="728" xr:uid="{00000000-0005-0000-0000-0000D9020000}"/>
    <cellStyle name="Dziesiętny_Invoices2001Slovakia_NHA de xe nguyen du" xfId="729" xr:uid="{00000000-0005-0000-0000-0000DA020000}"/>
    <cellStyle name="Dziesietny_Invoices2001Slovakia_Nhalamviec VTC(25-1-05)" xfId="730" xr:uid="{00000000-0005-0000-0000-0000DB020000}"/>
    <cellStyle name="Dziesiętny_Invoices2001Slovakia_Nhalamviec VTC(25-1-05)" xfId="731" xr:uid="{00000000-0005-0000-0000-0000DC020000}"/>
    <cellStyle name="Dziesietny_Invoices2001Slovakia_t.nuoc(12-10-06)" xfId="732" xr:uid="{00000000-0005-0000-0000-0000DD020000}"/>
    <cellStyle name="Dziesiętny_Invoices2001Slovakia_TDT KHANH HOA" xfId="733" xr:uid="{00000000-0005-0000-0000-0000DE020000}"/>
    <cellStyle name="Dziesietny_Invoices2001Slovakia_TDT quangngai" xfId="734" xr:uid="{00000000-0005-0000-0000-0000DF020000}"/>
    <cellStyle name="Dziesiętny_Invoices2001Slovakia_TDT quangngai" xfId="735" xr:uid="{00000000-0005-0000-0000-0000E0020000}"/>
    <cellStyle name="Dziesietny_Invoices2001Slovakia_TMDT(10-5-06)" xfId="736" xr:uid="{00000000-0005-0000-0000-0000E1020000}"/>
    <cellStyle name="e" xfId="737" xr:uid="{00000000-0005-0000-0000-0000E2020000}"/>
    <cellStyle name="Enter Currency (0)" xfId="738" xr:uid="{00000000-0005-0000-0000-0000E3020000}"/>
    <cellStyle name="Enter Currency (2)" xfId="739" xr:uid="{00000000-0005-0000-0000-0000E4020000}"/>
    <cellStyle name="Enter Units (0)" xfId="740" xr:uid="{00000000-0005-0000-0000-0000E5020000}"/>
    <cellStyle name="Enter Units (1)" xfId="741" xr:uid="{00000000-0005-0000-0000-0000E6020000}"/>
    <cellStyle name="Enter Units (2)" xfId="742" xr:uid="{00000000-0005-0000-0000-0000E7020000}"/>
    <cellStyle name="Euro" xfId="743" xr:uid="{00000000-0005-0000-0000-0000E8020000}"/>
    <cellStyle name="f" xfId="744" xr:uid="{00000000-0005-0000-0000-0000E9020000}"/>
    <cellStyle name="F2" xfId="745" xr:uid="{00000000-0005-0000-0000-0000EA020000}"/>
    <cellStyle name="F3" xfId="746" xr:uid="{00000000-0005-0000-0000-0000EB020000}"/>
    <cellStyle name="F4" xfId="747" xr:uid="{00000000-0005-0000-0000-0000EC020000}"/>
    <cellStyle name="F5" xfId="748" xr:uid="{00000000-0005-0000-0000-0000ED020000}"/>
    <cellStyle name="F6" xfId="749" xr:uid="{00000000-0005-0000-0000-0000EE020000}"/>
    <cellStyle name="F7" xfId="750" xr:uid="{00000000-0005-0000-0000-0000EF020000}"/>
    <cellStyle name="F8" xfId="751" xr:uid="{00000000-0005-0000-0000-0000F0020000}"/>
    <cellStyle name="Fixed" xfId="752" xr:uid="{00000000-0005-0000-0000-0000F1020000}"/>
    <cellStyle name="gia" xfId="753" xr:uid="{00000000-0005-0000-0000-0000F2020000}"/>
    <cellStyle name="Grey" xfId="754" xr:uid="{00000000-0005-0000-0000-0000F3020000}"/>
    <cellStyle name="Gross Margin" xfId="755" xr:uid="{00000000-0005-0000-0000-0000F4020000}"/>
    <cellStyle name="ha" xfId="756" xr:uid="{00000000-0005-0000-0000-0000F5020000}"/>
    <cellStyle name="HEADER" xfId="757" xr:uid="{00000000-0005-0000-0000-0000F6020000}"/>
    <cellStyle name="Header - Style1" xfId="758" xr:uid="{00000000-0005-0000-0000-0000F7020000}"/>
    <cellStyle name="Header1" xfId="759" xr:uid="{00000000-0005-0000-0000-0000F8020000}"/>
    <cellStyle name="Header2" xfId="760" xr:uid="{00000000-0005-0000-0000-0000F9020000}"/>
    <cellStyle name="Heading" xfId="761" xr:uid="{00000000-0005-0000-0000-0000FA020000}"/>
    <cellStyle name="HEADING1" xfId="762" xr:uid="{00000000-0005-0000-0000-0000FB020000}"/>
    <cellStyle name="HEADING2" xfId="763" xr:uid="{00000000-0005-0000-0000-0000FC020000}"/>
    <cellStyle name="headoption" xfId="764" xr:uid="{00000000-0005-0000-0000-0000FD020000}"/>
    <cellStyle name="Hoa-Scholl" xfId="765" xr:uid="{00000000-0005-0000-0000-0000FE020000}"/>
    <cellStyle name="Hyperlink" xfId="1180" builtinId="8"/>
    <cellStyle name="i phÝ kh¸c_B¶ng 2" xfId="766" xr:uid="{00000000-0005-0000-0000-0000FF020000}"/>
    <cellStyle name="I.3" xfId="767" xr:uid="{00000000-0005-0000-0000-000000030000}"/>
    <cellStyle name="ï-¾È»ê_BiÓu TB" xfId="768" xr:uid="{00000000-0005-0000-0000-000001030000}"/>
    <cellStyle name="Input [yellow]" xfId="769" xr:uid="{00000000-0005-0000-0000-000002030000}"/>
    <cellStyle name="ion" xfId="770" xr:uid="{00000000-0005-0000-0000-000003030000}"/>
    <cellStyle name="kh¸c_Bang Chi tieu" xfId="771" xr:uid="{00000000-0005-0000-0000-000004030000}"/>
    <cellStyle name="khanh" xfId="772" xr:uid="{00000000-0005-0000-0000-000005030000}"/>
    <cellStyle name="Kien1" xfId="773" xr:uid="{00000000-0005-0000-0000-000006030000}"/>
    <cellStyle name="Ledger 17 x 11 in" xfId="774" xr:uid="{00000000-0005-0000-0000-000007030000}"/>
    <cellStyle name="Level 2 Total" xfId="775" xr:uid="{00000000-0005-0000-0000-000008030000}"/>
    <cellStyle name="Line" xfId="776" xr:uid="{00000000-0005-0000-0000-000009030000}"/>
    <cellStyle name="Link Currency (0)" xfId="777" xr:uid="{00000000-0005-0000-0000-00000A030000}"/>
    <cellStyle name="Link Currency (2)" xfId="778" xr:uid="{00000000-0005-0000-0000-00000B030000}"/>
    <cellStyle name="Link Units (0)" xfId="779" xr:uid="{00000000-0005-0000-0000-00000C030000}"/>
    <cellStyle name="Link Units (1)" xfId="780" xr:uid="{00000000-0005-0000-0000-00000D030000}"/>
    <cellStyle name="Link Units (2)" xfId="781" xr:uid="{00000000-0005-0000-0000-00000E030000}"/>
    <cellStyle name="M" xfId="782" xr:uid="{00000000-0005-0000-0000-00000F030000}"/>
    <cellStyle name="Major Total" xfId="783" xr:uid="{00000000-0005-0000-0000-000010030000}"/>
    <cellStyle name="Millares [0]_Well Timing" xfId="784" xr:uid="{00000000-0005-0000-0000-000011030000}"/>
    <cellStyle name="Millares_Well Timing" xfId="785" xr:uid="{00000000-0005-0000-0000-000012030000}"/>
    <cellStyle name="Milliers [0]_      " xfId="786" xr:uid="{00000000-0005-0000-0000-000013030000}"/>
    <cellStyle name="Milliers_      " xfId="787" xr:uid="{00000000-0005-0000-0000-000014030000}"/>
    <cellStyle name="Model" xfId="788" xr:uid="{00000000-0005-0000-0000-000015030000}"/>
    <cellStyle name="Moeda [0]_aola" xfId="789" xr:uid="{00000000-0005-0000-0000-000016030000}"/>
    <cellStyle name="Moeda_aola" xfId="790" xr:uid="{00000000-0005-0000-0000-000017030000}"/>
    <cellStyle name="moi" xfId="791" xr:uid="{00000000-0005-0000-0000-000018030000}"/>
    <cellStyle name="Moneda [0]_Well Timing" xfId="792" xr:uid="{00000000-0005-0000-0000-000019030000}"/>
    <cellStyle name="Moneda_Well Timing" xfId="793" xr:uid="{00000000-0005-0000-0000-00001A030000}"/>
    <cellStyle name="Monétaire [0]_      " xfId="794" xr:uid="{00000000-0005-0000-0000-00001B030000}"/>
    <cellStyle name="Monetaire [0]_AR1194" xfId="795" xr:uid="{00000000-0005-0000-0000-00001C030000}"/>
    <cellStyle name="Monétaire [0]_AR1194" xfId="796" xr:uid="{00000000-0005-0000-0000-00001D030000}"/>
    <cellStyle name="Monétaire_      " xfId="797" xr:uid="{00000000-0005-0000-0000-00001E030000}"/>
    <cellStyle name="Monetaire_AR1194" xfId="798" xr:uid="{00000000-0005-0000-0000-00001F030000}"/>
    <cellStyle name="Monétaire_AR1194" xfId="799" xr:uid="{00000000-0005-0000-0000-000020030000}"/>
    <cellStyle name="Mon騁aire [0]_AR1194" xfId="800" xr:uid="{00000000-0005-0000-0000-000021030000}"/>
    <cellStyle name="Mon騁aire_AR1194" xfId="801" xr:uid="{00000000-0005-0000-0000-000022030000}"/>
    <cellStyle name="n" xfId="802" xr:uid="{00000000-0005-0000-0000-000023030000}"/>
    <cellStyle name="N_KHTS-JH.2005" xfId="803" xr:uid="{00000000-0005-0000-0000-000024030000}"/>
    <cellStyle name="N_PBCP(242).2005" xfId="804" xr:uid="{00000000-0005-0000-0000-000025030000}"/>
    <cellStyle name="New" xfId="805" xr:uid="{00000000-0005-0000-0000-000026030000}"/>
    <cellStyle name="New Times Roman" xfId="806" xr:uid="{00000000-0005-0000-0000-000027030000}"/>
    <cellStyle name="No" xfId="807" xr:uid="{00000000-0005-0000-0000-000028030000}"/>
    <cellStyle name="no dec" xfId="808" xr:uid="{00000000-0005-0000-0000-000029030000}"/>
    <cellStyle name="ÑONVÒ" xfId="809" xr:uid="{00000000-0005-0000-0000-00002A030000}"/>
    <cellStyle name="Normal" xfId="0" builtinId="0"/>
    <cellStyle name="Normal - Style1" xfId="810" xr:uid="{00000000-0005-0000-0000-00002C030000}"/>
    <cellStyle name="Normal - Style5" xfId="811" xr:uid="{00000000-0005-0000-0000-00002D030000}"/>
    <cellStyle name="Normal - 유형1" xfId="812" xr:uid="{00000000-0005-0000-0000-00002E030000}"/>
    <cellStyle name="Normal 10" xfId="813" xr:uid="{00000000-0005-0000-0000-00002F030000}"/>
    <cellStyle name="Normal 11" xfId="1168" xr:uid="{00000000-0005-0000-0000-000030030000}"/>
    <cellStyle name="Normal 13" xfId="1172" xr:uid="{1CC28CA6-C537-4990-94A9-DD7F8D64C86A}"/>
    <cellStyle name="Normal 14" xfId="1174" xr:uid="{DDD3554F-64FE-454A-A094-D1C1914079FD}"/>
    <cellStyle name="Normal 15" xfId="1175" xr:uid="{FE12A2EF-76BD-46DF-9806-F83055312551}"/>
    <cellStyle name="Normal 16" xfId="1176" xr:uid="{FC5F827D-214C-4447-A4F9-7BE722D3C5A3}"/>
    <cellStyle name="Normal 17" xfId="1177" xr:uid="{CB2B386F-2376-47C9-871A-C22B690846B9}"/>
    <cellStyle name="Normal 18" xfId="1178" xr:uid="{D7C96D45-1CE4-4F4F-B073-D4CF08D6B232}"/>
    <cellStyle name="Normal 19" xfId="1179" xr:uid="{3E4DBC90-7A2B-462C-86B3-FB764256EFD6}"/>
    <cellStyle name="Normal 190" xfId="814" xr:uid="{00000000-0005-0000-0000-000031030000}"/>
    <cellStyle name="Normal 2" xfId="815" xr:uid="{00000000-0005-0000-0000-000032030000}"/>
    <cellStyle name="Normal 2 2" xfId="816" xr:uid="{00000000-0005-0000-0000-000033030000}"/>
    <cellStyle name="Normal 3" xfId="817" xr:uid="{00000000-0005-0000-0000-000034030000}"/>
    <cellStyle name="Normal 3 2" xfId="818" xr:uid="{00000000-0005-0000-0000-000035030000}"/>
    <cellStyle name="Normal 4" xfId="819" xr:uid="{00000000-0005-0000-0000-000036030000}"/>
    <cellStyle name="Normal 4 2" xfId="820" xr:uid="{00000000-0005-0000-0000-000037030000}"/>
    <cellStyle name="Normal 4 2 2" xfId="1173" xr:uid="{47DDE6BA-9ECD-4123-BE59-FB7E59F96F8B}"/>
    <cellStyle name="Normal 4 3" xfId="1170" xr:uid="{00000000-0005-0000-0000-000038030000}"/>
    <cellStyle name="Normal 5" xfId="821" xr:uid="{00000000-0005-0000-0000-000039030000}"/>
    <cellStyle name="Normal 6" xfId="822" xr:uid="{00000000-0005-0000-0000-00003A030000}"/>
    <cellStyle name="Normal 7" xfId="823" xr:uid="{00000000-0005-0000-0000-00003B030000}"/>
    <cellStyle name="Normal 7 2" xfId="1169" xr:uid="{00000000-0005-0000-0000-00003C030000}"/>
    <cellStyle name="Normal 8" xfId="824" xr:uid="{00000000-0005-0000-0000-00003D030000}"/>
    <cellStyle name="Normal 9" xfId="825" xr:uid="{00000000-0005-0000-0000-00003E030000}"/>
    <cellStyle name="Normal_May Metan gui map1" xfId="826" xr:uid="{00000000-0005-0000-0000-00003F030000}"/>
    <cellStyle name="Normal⌒£_x000a__x0007__x000c__x000a_ဠ" xfId="827" xr:uid="{00000000-0005-0000-0000-000040030000}"/>
    <cellStyle name="Normal1" xfId="828" xr:uid="{00000000-0005-0000-0000-000041030000}"/>
    <cellStyle name="Normalny_Cennik obowiazuje od 06-08-2001 r (1)" xfId="829" xr:uid="{00000000-0005-0000-0000-000042030000}"/>
    <cellStyle name="Norm_x0005_SummaryInformation" xfId="830" xr:uid="{00000000-0005-0000-0000-000043030000}"/>
    <cellStyle name="Œ…‹æØ‚è [0.00]_Add and Red2" xfId="831" xr:uid="{00000000-0005-0000-0000-000044030000}"/>
    <cellStyle name="Œ…‹æØ‚è_Add and Red2" xfId="832" xr:uid="{00000000-0005-0000-0000-000045030000}"/>
    <cellStyle name="oft Excel]_x000d__x000a_Comment=open=/f ‚ðw’è‚·‚é‚ÆAƒ†[ƒU[’è‹`ŠÖ”‚ðŠÖ”“\‚è•t‚¯‚Ìˆê——‚É“o˜^‚·‚é‚±‚Æ‚ª‚Å‚«‚Ü‚·B_x000d__x000a_Maximized" xfId="833" xr:uid="{00000000-0005-0000-0000-000046030000}"/>
    <cellStyle name="oft Excel]_x000d__x000a_Comment=The open=/f lines load custom functions into the Paste Function list._x000d__x000a_Maximized=2_x000d__x000a_Basics=1_x000d__x000a_A" xfId="834" xr:uid="{00000000-0005-0000-0000-000047030000}"/>
    <cellStyle name="oft Excel]_x000d__x000a_Comment=The open=/f lines load custom functions into the Paste Function list._x000d__x000a_Maximized=3_x000d__x000a_Basics=1_x000d__x000a_A" xfId="835" xr:uid="{00000000-0005-0000-0000-000048030000}"/>
    <cellStyle name="omma [0]_Mktg Prog" xfId="836" xr:uid="{00000000-0005-0000-0000-000049030000}"/>
    <cellStyle name="ormal_Sheet1_1" xfId="837" xr:uid="{00000000-0005-0000-0000-00004A030000}"/>
    <cellStyle name="paint" xfId="838" xr:uid="{00000000-0005-0000-0000-00004B030000}"/>
    <cellStyle name="Percent [0]" xfId="839" xr:uid="{00000000-0005-0000-0000-00004C030000}"/>
    <cellStyle name="Percent [00]" xfId="840" xr:uid="{00000000-0005-0000-0000-00004D030000}"/>
    <cellStyle name="Percent [2]" xfId="841" xr:uid="{00000000-0005-0000-0000-00004E030000}"/>
    <cellStyle name="PERCENTAGE" xfId="842" xr:uid="{00000000-0005-0000-0000-00004F030000}"/>
    <cellStyle name="PrePop Currency (0)" xfId="843" xr:uid="{00000000-0005-0000-0000-000050030000}"/>
    <cellStyle name="PrePop Currency (2)" xfId="844" xr:uid="{00000000-0005-0000-0000-000051030000}"/>
    <cellStyle name="PrePop Units (0)" xfId="845" xr:uid="{00000000-0005-0000-0000-000052030000}"/>
    <cellStyle name="PrePop Units (1)" xfId="846" xr:uid="{00000000-0005-0000-0000-000053030000}"/>
    <cellStyle name="PrePop Units (2)" xfId="847" xr:uid="{00000000-0005-0000-0000-000054030000}"/>
    <cellStyle name="pricing" xfId="848" xr:uid="{00000000-0005-0000-0000-000055030000}"/>
    <cellStyle name="PSChar" xfId="849" xr:uid="{00000000-0005-0000-0000-000056030000}"/>
    <cellStyle name="PSHeading" xfId="850" xr:uid="{00000000-0005-0000-0000-000057030000}"/>
    <cellStyle name="Quantity" xfId="851" xr:uid="{00000000-0005-0000-0000-000058030000}"/>
    <cellStyle name="s]_x000d__x000a_spooler=yes_x000d__x000a_load=_x000d__x000a_Beep=yes_x000d__x000a_NullPort=None_x000d__x000a_BorderWidth=3_x000d__x000a_CursorBlinkRate=1200_x000d__x000a_DoubleClickSpeed=452_x000d__x000a_Programs=co" xfId="852" xr:uid="{00000000-0005-0000-0000-000059030000}"/>
    <cellStyle name="SAPBEXaggData" xfId="853" xr:uid="{00000000-0005-0000-0000-00005A030000}"/>
    <cellStyle name="SAPBEXaggDataEmph" xfId="854" xr:uid="{00000000-0005-0000-0000-00005B030000}"/>
    <cellStyle name="SAPBEXaggItem" xfId="855" xr:uid="{00000000-0005-0000-0000-00005C030000}"/>
    <cellStyle name="SAPBEXchaText" xfId="856" xr:uid="{00000000-0005-0000-0000-00005D030000}"/>
    <cellStyle name="SAPBEXexcBad7" xfId="857" xr:uid="{00000000-0005-0000-0000-00005E030000}"/>
    <cellStyle name="SAPBEXexcBad8" xfId="858" xr:uid="{00000000-0005-0000-0000-00005F030000}"/>
    <cellStyle name="SAPBEXexcBad9" xfId="859" xr:uid="{00000000-0005-0000-0000-000060030000}"/>
    <cellStyle name="SAPBEXexcCritical4" xfId="860" xr:uid="{00000000-0005-0000-0000-000061030000}"/>
    <cellStyle name="SAPBEXexcCritical5" xfId="861" xr:uid="{00000000-0005-0000-0000-000062030000}"/>
    <cellStyle name="SAPBEXexcCritical6" xfId="862" xr:uid="{00000000-0005-0000-0000-000063030000}"/>
    <cellStyle name="SAPBEXexcGood1" xfId="863" xr:uid="{00000000-0005-0000-0000-000064030000}"/>
    <cellStyle name="SAPBEXexcGood2" xfId="864" xr:uid="{00000000-0005-0000-0000-000065030000}"/>
    <cellStyle name="SAPBEXexcGood3" xfId="865" xr:uid="{00000000-0005-0000-0000-000066030000}"/>
    <cellStyle name="SAPBEXfilterDrill" xfId="866" xr:uid="{00000000-0005-0000-0000-000067030000}"/>
    <cellStyle name="SAPBEXfilterItem" xfId="867" xr:uid="{00000000-0005-0000-0000-000068030000}"/>
    <cellStyle name="SAPBEXfilterText" xfId="868" xr:uid="{00000000-0005-0000-0000-000069030000}"/>
    <cellStyle name="SAPBEXformats" xfId="869" xr:uid="{00000000-0005-0000-0000-00006A030000}"/>
    <cellStyle name="SAPBEXheaderItem" xfId="870" xr:uid="{00000000-0005-0000-0000-00006B030000}"/>
    <cellStyle name="SAPBEXheaderText" xfId="871" xr:uid="{00000000-0005-0000-0000-00006C030000}"/>
    <cellStyle name="SAPBEXresData" xfId="872" xr:uid="{00000000-0005-0000-0000-00006D030000}"/>
    <cellStyle name="SAPBEXresDataEmph" xfId="873" xr:uid="{00000000-0005-0000-0000-00006E030000}"/>
    <cellStyle name="SAPBEXresItem" xfId="874" xr:uid="{00000000-0005-0000-0000-00006F030000}"/>
    <cellStyle name="SAPBEXstdData" xfId="875" xr:uid="{00000000-0005-0000-0000-000070030000}"/>
    <cellStyle name="SAPBEXstdDataEmph" xfId="876" xr:uid="{00000000-0005-0000-0000-000071030000}"/>
    <cellStyle name="SAPBEXstdItem" xfId="877" xr:uid="{00000000-0005-0000-0000-000072030000}"/>
    <cellStyle name="SAPBEXtitle" xfId="878" xr:uid="{00000000-0005-0000-0000-000073030000}"/>
    <cellStyle name="SAPBEXundefined" xfId="879" xr:uid="{00000000-0005-0000-0000-000074030000}"/>
    <cellStyle name="Separador de milhares [0]_Person" xfId="880" xr:uid="{00000000-0005-0000-0000-000075030000}"/>
    <cellStyle name="Separador de milhares_Person" xfId="881" xr:uid="{00000000-0005-0000-0000-000076030000}"/>
    <cellStyle name="Standard_Anpassen der Amortisation" xfId="882" xr:uid="{00000000-0005-0000-0000-000077030000}"/>
    <cellStyle name="Style 1" xfId="883" xr:uid="{00000000-0005-0000-0000-000078030000}"/>
    <cellStyle name="Style 10" xfId="884" xr:uid="{00000000-0005-0000-0000-000079030000}"/>
    <cellStyle name="Style 11" xfId="885" xr:uid="{00000000-0005-0000-0000-00007A030000}"/>
    <cellStyle name="Style 12" xfId="886" xr:uid="{00000000-0005-0000-0000-00007B030000}"/>
    <cellStyle name="Style 13" xfId="887" xr:uid="{00000000-0005-0000-0000-00007C030000}"/>
    <cellStyle name="Style 14" xfId="888" xr:uid="{00000000-0005-0000-0000-00007D030000}"/>
    <cellStyle name="Style 15" xfId="889" xr:uid="{00000000-0005-0000-0000-00007E030000}"/>
    <cellStyle name="Style 16" xfId="890" xr:uid="{00000000-0005-0000-0000-00007F030000}"/>
    <cellStyle name="Style 17" xfId="891" xr:uid="{00000000-0005-0000-0000-000080030000}"/>
    <cellStyle name="Style 18" xfId="892" xr:uid="{00000000-0005-0000-0000-000081030000}"/>
    <cellStyle name="Style 19" xfId="893" xr:uid="{00000000-0005-0000-0000-000082030000}"/>
    <cellStyle name="Style 2" xfId="894" xr:uid="{00000000-0005-0000-0000-000083030000}"/>
    <cellStyle name="Style 20" xfId="895" xr:uid="{00000000-0005-0000-0000-000084030000}"/>
    <cellStyle name="Style 21" xfId="896" xr:uid="{00000000-0005-0000-0000-000085030000}"/>
    <cellStyle name="Style 22" xfId="897" xr:uid="{00000000-0005-0000-0000-000086030000}"/>
    <cellStyle name="Style 23" xfId="898" xr:uid="{00000000-0005-0000-0000-000087030000}"/>
    <cellStyle name="Style 24" xfId="899" xr:uid="{00000000-0005-0000-0000-000088030000}"/>
    <cellStyle name="Style 25" xfId="900" xr:uid="{00000000-0005-0000-0000-000089030000}"/>
    <cellStyle name="Style 26" xfId="901" xr:uid="{00000000-0005-0000-0000-00008A030000}"/>
    <cellStyle name="Style 27" xfId="902" xr:uid="{00000000-0005-0000-0000-00008B030000}"/>
    <cellStyle name="Style 28" xfId="903" xr:uid="{00000000-0005-0000-0000-00008C030000}"/>
    <cellStyle name="Style 29" xfId="904" xr:uid="{00000000-0005-0000-0000-00008D030000}"/>
    <cellStyle name="Style 3" xfId="905" xr:uid="{00000000-0005-0000-0000-00008E030000}"/>
    <cellStyle name="Style 30" xfId="906" xr:uid="{00000000-0005-0000-0000-00008F030000}"/>
    <cellStyle name="Style 31" xfId="907" xr:uid="{00000000-0005-0000-0000-000090030000}"/>
    <cellStyle name="Style 32" xfId="908" xr:uid="{00000000-0005-0000-0000-000091030000}"/>
    <cellStyle name="Style 33" xfId="909" xr:uid="{00000000-0005-0000-0000-000092030000}"/>
    <cellStyle name="Style 34" xfId="910" xr:uid="{00000000-0005-0000-0000-000093030000}"/>
    <cellStyle name="Style 35" xfId="911" xr:uid="{00000000-0005-0000-0000-000094030000}"/>
    <cellStyle name="Style 36" xfId="912" xr:uid="{00000000-0005-0000-0000-000095030000}"/>
    <cellStyle name="Style 37" xfId="913" xr:uid="{00000000-0005-0000-0000-000096030000}"/>
    <cellStyle name="Style 38" xfId="914" xr:uid="{00000000-0005-0000-0000-000097030000}"/>
    <cellStyle name="Style 39" xfId="915" xr:uid="{00000000-0005-0000-0000-000098030000}"/>
    <cellStyle name="Style 4" xfId="916" xr:uid="{00000000-0005-0000-0000-000099030000}"/>
    <cellStyle name="Style 40" xfId="917" xr:uid="{00000000-0005-0000-0000-00009A030000}"/>
    <cellStyle name="Style 41" xfId="918" xr:uid="{00000000-0005-0000-0000-00009B030000}"/>
    <cellStyle name="Style 42" xfId="919" xr:uid="{00000000-0005-0000-0000-00009C030000}"/>
    <cellStyle name="Style 43" xfId="920" xr:uid="{00000000-0005-0000-0000-00009D030000}"/>
    <cellStyle name="Style 44" xfId="921" xr:uid="{00000000-0005-0000-0000-00009E030000}"/>
    <cellStyle name="Style 45" xfId="922" xr:uid="{00000000-0005-0000-0000-00009F030000}"/>
    <cellStyle name="Style 46" xfId="923" xr:uid="{00000000-0005-0000-0000-0000A0030000}"/>
    <cellStyle name="Style 47" xfId="924" xr:uid="{00000000-0005-0000-0000-0000A1030000}"/>
    <cellStyle name="Style 48" xfId="925" xr:uid="{00000000-0005-0000-0000-0000A2030000}"/>
    <cellStyle name="Style 49" xfId="926" xr:uid="{00000000-0005-0000-0000-0000A3030000}"/>
    <cellStyle name="Style 5" xfId="927" xr:uid="{00000000-0005-0000-0000-0000A4030000}"/>
    <cellStyle name="Style 50" xfId="928" xr:uid="{00000000-0005-0000-0000-0000A5030000}"/>
    <cellStyle name="Style 51" xfId="929" xr:uid="{00000000-0005-0000-0000-0000A6030000}"/>
    <cellStyle name="Style 52" xfId="930" xr:uid="{00000000-0005-0000-0000-0000A7030000}"/>
    <cellStyle name="Style 53" xfId="931" xr:uid="{00000000-0005-0000-0000-0000A8030000}"/>
    <cellStyle name="Style 54" xfId="932" xr:uid="{00000000-0005-0000-0000-0000A9030000}"/>
    <cellStyle name="Style 55" xfId="933" xr:uid="{00000000-0005-0000-0000-0000AA030000}"/>
    <cellStyle name="Style 56" xfId="934" xr:uid="{00000000-0005-0000-0000-0000AB030000}"/>
    <cellStyle name="Style 57" xfId="935" xr:uid="{00000000-0005-0000-0000-0000AC030000}"/>
    <cellStyle name="Style 58" xfId="936" xr:uid="{00000000-0005-0000-0000-0000AD030000}"/>
    <cellStyle name="Style 59" xfId="937" xr:uid="{00000000-0005-0000-0000-0000AE030000}"/>
    <cellStyle name="Style 6" xfId="938" xr:uid="{00000000-0005-0000-0000-0000AF030000}"/>
    <cellStyle name="Style 60" xfId="939" xr:uid="{00000000-0005-0000-0000-0000B0030000}"/>
    <cellStyle name="Style 61" xfId="940" xr:uid="{00000000-0005-0000-0000-0000B1030000}"/>
    <cellStyle name="Style 62" xfId="941" xr:uid="{00000000-0005-0000-0000-0000B2030000}"/>
    <cellStyle name="Style 63" xfId="942" xr:uid="{00000000-0005-0000-0000-0000B3030000}"/>
    <cellStyle name="Style 64" xfId="943" xr:uid="{00000000-0005-0000-0000-0000B4030000}"/>
    <cellStyle name="Style 65" xfId="944" xr:uid="{00000000-0005-0000-0000-0000B5030000}"/>
    <cellStyle name="Style 66" xfId="945" xr:uid="{00000000-0005-0000-0000-0000B6030000}"/>
    <cellStyle name="Style 67" xfId="946" xr:uid="{00000000-0005-0000-0000-0000B7030000}"/>
    <cellStyle name="Style 68" xfId="947" xr:uid="{00000000-0005-0000-0000-0000B8030000}"/>
    <cellStyle name="Style 69" xfId="948" xr:uid="{00000000-0005-0000-0000-0000B9030000}"/>
    <cellStyle name="Style 7" xfId="949" xr:uid="{00000000-0005-0000-0000-0000BA030000}"/>
    <cellStyle name="Style 70" xfId="950" xr:uid="{00000000-0005-0000-0000-0000BB030000}"/>
    <cellStyle name="Style 8" xfId="951" xr:uid="{00000000-0005-0000-0000-0000BC030000}"/>
    <cellStyle name="Style 9" xfId="952" xr:uid="{00000000-0005-0000-0000-0000BD030000}"/>
    <cellStyle name="style_1" xfId="953" xr:uid="{00000000-0005-0000-0000-0000BE030000}"/>
    <cellStyle name="Style1" xfId="954" xr:uid="{00000000-0005-0000-0000-0000BF030000}"/>
    <cellStyle name="Style2" xfId="955" xr:uid="{00000000-0005-0000-0000-0000C0030000}"/>
    <cellStyle name="Style3" xfId="956" xr:uid="{00000000-0005-0000-0000-0000C1030000}"/>
    <cellStyle name="Style4" xfId="957" xr:uid="{00000000-0005-0000-0000-0000C2030000}"/>
    <cellStyle name="Style5" xfId="958" xr:uid="{00000000-0005-0000-0000-0000C3030000}"/>
    <cellStyle name="Style6" xfId="959" xr:uid="{00000000-0005-0000-0000-0000C4030000}"/>
    <cellStyle name="Style7" xfId="960" xr:uid="{00000000-0005-0000-0000-0000C5030000}"/>
    <cellStyle name="subhead" xfId="961" xr:uid="{00000000-0005-0000-0000-0000C6030000}"/>
    <cellStyle name="T" xfId="962" xr:uid="{00000000-0005-0000-0000-0000C7030000}"/>
    <cellStyle name="T_3_BCTC_Viet" xfId="963" xr:uid="{00000000-0005-0000-0000-0000C8030000}"/>
    <cellStyle name="T_4 BCTC (QD15)" xfId="964" xr:uid="{00000000-0005-0000-0000-0000C9030000}"/>
    <cellStyle name="T_4 BCTC (QD15)_Hieu" xfId="965" xr:uid="{00000000-0005-0000-0000-0000CA030000}"/>
    <cellStyle name="T_4 BCTC PTIC 2006" xfId="966" xr:uid="{00000000-0005-0000-0000-0000CB030000}"/>
    <cellStyle name="T_4 BCTC(Cty17_2004)" xfId="967" xr:uid="{00000000-0005-0000-0000-0000CC030000}"/>
    <cellStyle name="T_4_BCTC Tong nha - sua 25.5.07" xfId="968" xr:uid="{00000000-0005-0000-0000-0000CD030000}"/>
    <cellStyle name="T_5 - PHU LUC XDGTDN hanh" xfId="969" xr:uid="{00000000-0005-0000-0000-0000CE030000}"/>
    <cellStyle name="T_641,642_TM Thuoc La_2006" xfId="970" xr:uid="{00000000-0005-0000-0000-0000CF030000}"/>
    <cellStyle name="T_Alphanam-T.Anh" xfId="971" xr:uid="{00000000-0005-0000-0000-0000D0030000}"/>
    <cellStyle name="T_BAITAP_BATBUOCxls" xfId="972" xr:uid="{00000000-0005-0000-0000-0000D1030000}"/>
    <cellStyle name="T_Bang tinh lai NH, TH NMG den 30.9.06" xfId="973" xr:uid="{00000000-0005-0000-0000-0000D2030000}"/>
    <cellStyle name="T_Bang tinh lai NH, TH NMG den 30.9.06_5 - PHU LUC XDGTDN hanh" xfId="974" xr:uid="{00000000-0005-0000-0000-0000D3030000}"/>
    <cellStyle name="T_Bang tinh lai NH, TH NMG den 30.9.06_BCTC toan Cty" xfId="975" xr:uid="{00000000-0005-0000-0000-0000D4030000}"/>
    <cellStyle name="T_Bang tinh lai NH, TH NMG den 30.9.06_Book1" xfId="976" xr:uid="{00000000-0005-0000-0000-0000D5030000}"/>
    <cellStyle name="T_Bao cao kttb milk yomilkYAO-mien bac" xfId="977" xr:uid="{00000000-0005-0000-0000-0000D6030000}"/>
    <cellStyle name="T_Bao cao kttb milk yomilkYAO-mien bac_4 BCTC Cong nghe toan nang" xfId="978" xr:uid="{00000000-0005-0000-0000-0000D7030000}"/>
    <cellStyle name="T_Bao cao kttb milk yomilkYAO-mien bac_Book1" xfId="979" xr:uid="{00000000-0005-0000-0000-0000D8030000}"/>
    <cellStyle name="T_Bao cao tai chinh CN Tuyen Quang 2006" xfId="980" xr:uid="{00000000-0005-0000-0000-0000D9030000}"/>
    <cellStyle name="T_Bao cao tai chinh Nagakawa 2006" xfId="981" xr:uid="{00000000-0005-0000-0000-0000DA030000}"/>
    <cellStyle name="T_bc_km_ngay" xfId="982" xr:uid="{00000000-0005-0000-0000-0000DB030000}"/>
    <cellStyle name="T_bc_km_ngay_4 BCTC Cong nghe toan nang" xfId="983" xr:uid="{00000000-0005-0000-0000-0000DC030000}"/>
    <cellStyle name="T_bc_km_ngay_Book1" xfId="984" xr:uid="{00000000-0005-0000-0000-0000DD030000}"/>
    <cellStyle name="T_BCTC" xfId="985" xr:uid="{00000000-0005-0000-0000-0000DE030000}"/>
    <cellStyle name="T_BCTC hop nhat" xfId="986" xr:uid="{00000000-0005-0000-0000-0000DF030000}"/>
    <cellStyle name="T_Book1" xfId="987" xr:uid="{00000000-0005-0000-0000-0000E0030000}"/>
    <cellStyle name="T_Book1_1" xfId="988" xr:uid="{00000000-0005-0000-0000-0000E1030000}"/>
    <cellStyle name="T_Book1_1_5 - PHU LUC XDGTDN hanh" xfId="989" xr:uid="{00000000-0005-0000-0000-0000E2030000}"/>
    <cellStyle name="T_Book1_1_CPK" xfId="990" xr:uid="{00000000-0005-0000-0000-0000E3030000}"/>
    <cellStyle name="T_Book1_1_Thiet bi" xfId="991" xr:uid="{00000000-0005-0000-0000-0000E4030000}"/>
    <cellStyle name="T_Book1_5 - PHU LUC XDGTDN hanh" xfId="992" xr:uid="{00000000-0005-0000-0000-0000E5030000}"/>
    <cellStyle name="T_Book1_641,642_TM Thuoc La_2006" xfId="993" xr:uid="{00000000-0005-0000-0000-0000E6030000}"/>
    <cellStyle name="T_Book1_BCTC hop nhat" xfId="994" xr:uid="{00000000-0005-0000-0000-0000E7030000}"/>
    <cellStyle name="T_Book1_BCTC toan Cty" xfId="995" xr:uid="{00000000-0005-0000-0000-0000E8030000}"/>
    <cellStyle name="T_Book1_Book1" xfId="996" xr:uid="{00000000-0005-0000-0000-0000E9030000}"/>
    <cellStyle name="T_Book1_CPK" xfId="997" xr:uid="{00000000-0005-0000-0000-0000EA030000}"/>
    <cellStyle name="T_Book1_hoai mail" xfId="998" xr:uid="{00000000-0005-0000-0000-0000EB030000}"/>
    <cellStyle name="T_Book1_Nguon von" xfId="999" xr:uid="{00000000-0005-0000-0000-0000EC030000}"/>
    <cellStyle name="T_Book1_Thiet bi" xfId="1000" xr:uid="{00000000-0005-0000-0000-0000ED030000}"/>
    <cellStyle name="T_Book1_Thuyet minh thue" xfId="1001" xr:uid="{00000000-0005-0000-0000-0000EE030000}"/>
    <cellStyle name="T_Book1_WP CN Tuyen Quang" xfId="1002" xr:uid="{00000000-0005-0000-0000-0000EF030000}"/>
    <cellStyle name="T_BQL Ha Noi" xfId="1003" xr:uid="{00000000-0005-0000-0000-0000F0030000}"/>
    <cellStyle name="T_Cac bao cao TB  Milk-Yomilk-co Ke- CK 1-Vinh Thang" xfId="1004" xr:uid="{00000000-0005-0000-0000-0000F1030000}"/>
    <cellStyle name="T_Cac bao cao TB  Milk-Yomilk-co Ke- CK 1-Vinh Thang_4 BCTC Cong nghe toan nang" xfId="1005" xr:uid="{00000000-0005-0000-0000-0000F2030000}"/>
    <cellStyle name="T_Cac bao cao TB  Milk-Yomilk-co Ke- CK 1-Vinh Thang_Book1" xfId="1006" xr:uid="{00000000-0005-0000-0000-0000F3030000}"/>
    <cellStyle name="T_cham diem Milk chu ky2-ANH MINH" xfId="1007" xr:uid="{00000000-0005-0000-0000-0000F4030000}"/>
    <cellStyle name="T_cham diem Milk chu ky2-ANH MINH_4 BCTC Cong nghe toan nang" xfId="1008" xr:uid="{00000000-0005-0000-0000-0000F5030000}"/>
    <cellStyle name="T_cham diem Milk chu ky2-ANH MINH_Book1" xfId="1009" xr:uid="{00000000-0005-0000-0000-0000F6030000}"/>
    <cellStyle name="T_cham trung bay ck 1 m.Bac milk co ke 2" xfId="1010" xr:uid="{00000000-0005-0000-0000-0000F7030000}"/>
    <cellStyle name="T_cham trung bay ck 1 m.Bac milk co ke 2_4 BCTC Cong nghe toan nang" xfId="1011" xr:uid="{00000000-0005-0000-0000-0000F8030000}"/>
    <cellStyle name="T_cham trung bay ck 1 m.Bac milk co ke 2_Book1" xfId="1012" xr:uid="{00000000-0005-0000-0000-0000F9030000}"/>
    <cellStyle name="T_cham trung bay yao smart milk ck 2 mien Bac" xfId="1013" xr:uid="{00000000-0005-0000-0000-0000FA030000}"/>
    <cellStyle name="T_cham trung bay yao smart milk ck 2 mien Bac_4 BCTC Cong nghe toan nang" xfId="1014" xr:uid="{00000000-0005-0000-0000-0000FB030000}"/>
    <cellStyle name="T_cham trung bay yao smart milk ck 2 mien Bac_Book1" xfId="1015" xr:uid="{00000000-0005-0000-0000-0000FC030000}"/>
    <cellStyle name="T_CPK" xfId="1016" xr:uid="{00000000-0005-0000-0000-0000FD030000}"/>
    <cellStyle name="T_danh sach chua nop bcao trung bay sua chua  tinh den 1-3-06" xfId="1017" xr:uid="{00000000-0005-0000-0000-0000FE030000}"/>
    <cellStyle name="T_danh sach chua nop bcao trung bay sua chua  tinh den 1-3-06_4 BCTC Cong nghe toan nang" xfId="1018" xr:uid="{00000000-0005-0000-0000-0000FF030000}"/>
    <cellStyle name="T_danh sach chua nop bcao trung bay sua chua  tinh den 1-3-06_Book1" xfId="1019" xr:uid="{00000000-0005-0000-0000-000000040000}"/>
    <cellStyle name="T_Danh sach KH TB MilkYomilk Yao  Smart chu ky 2-Vinh Thang" xfId="1020" xr:uid="{00000000-0005-0000-0000-000001040000}"/>
    <cellStyle name="T_Danh sach KH TB MilkYomilk Yao  Smart chu ky 2-Vinh Thang_4 BCTC Cong nghe toan nang" xfId="1021" xr:uid="{00000000-0005-0000-0000-000002040000}"/>
    <cellStyle name="T_Danh sach KH TB MilkYomilk Yao  Smart chu ky 2-Vinh Thang_Book1" xfId="1022" xr:uid="{00000000-0005-0000-0000-000003040000}"/>
    <cellStyle name="T_Danh sach KH trung bay MilkYomilk co ke chu ky 2-Vinh Thang" xfId="1023" xr:uid="{00000000-0005-0000-0000-000004040000}"/>
    <cellStyle name="T_Danh sach KH trung bay MilkYomilk co ke chu ky 2-Vinh Thang_4 BCTC Cong nghe toan nang" xfId="1024" xr:uid="{00000000-0005-0000-0000-000005040000}"/>
    <cellStyle name="T_Danh sach KH trung bay MilkYomilk co ke chu ky 2-Vinh Thang_Book1" xfId="1025" xr:uid="{00000000-0005-0000-0000-000006040000}"/>
    <cellStyle name="T_DSACH MILK YO MILK CK 2 M.BAC" xfId="1026" xr:uid="{00000000-0005-0000-0000-000007040000}"/>
    <cellStyle name="T_DSACH MILK YO MILK CK 2 M.BAC_4 BCTC Cong nghe toan nang" xfId="1027" xr:uid="{00000000-0005-0000-0000-000008040000}"/>
    <cellStyle name="T_DSACH MILK YO MILK CK 2 M.BAC_Book1" xfId="1028" xr:uid="{00000000-0005-0000-0000-000009040000}"/>
    <cellStyle name="T_DSKH Tbay Milk , Yomilk CK 2 Vu Thi Hanh" xfId="1029" xr:uid="{00000000-0005-0000-0000-00000A040000}"/>
    <cellStyle name="T_DSKH Tbay Milk , Yomilk CK 2 Vu Thi Hanh_4 BCTC Cong nghe toan nang" xfId="1030" xr:uid="{00000000-0005-0000-0000-00000B040000}"/>
    <cellStyle name="T_DSKH Tbay Milk , Yomilk CK 2 Vu Thi Hanh_Book1" xfId="1031" xr:uid="{00000000-0005-0000-0000-00000C040000}"/>
    <cellStyle name="T_form ton kho CK 2 tuan 8" xfId="1032" xr:uid="{00000000-0005-0000-0000-00000D040000}"/>
    <cellStyle name="T_form ton kho CK 2 tuan 8_4 BCTC Cong nghe toan nang" xfId="1033" xr:uid="{00000000-0005-0000-0000-00000E040000}"/>
    <cellStyle name="T_form ton kho CK 2 tuan 8_Book1" xfId="1034" xr:uid="{00000000-0005-0000-0000-00000F040000}"/>
    <cellStyle name="T_Giay lam viec" xfId="1035" xr:uid="{00000000-0005-0000-0000-000010040000}"/>
    <cellStyle name="T_GLV T.ANH" xfId="1036" xr:uid="{00000000-0005-0000-0000-000011040000}"/>
    <cellStyle name="T_Hanaka" xfId="1037" xr:uid="{00000000-0005-0000-0000-000012040000}"/>
    <cellStyle name="T_Kinder World" xfId="1038" xr:uid="{00000000-0005-0000-0000-000013040000}"/>
    <cellStyle name="T_NPP Khanh Vinh Thai Nguyen - BC KTTB_CTrinh_TB__20_loc__Milk_Yomilk_CK1" xfId="1039" xr:uid="{00000000-0005-0000-0000-000014040000}"/>
    <cellStyle name="T_NPP Khanh Vinh Thai Nguyen - BC KTTB_CTrinh_TB__20_loc__Milk_Yomilk_CK1_4 BCTC Cong nghe toan nang" xfId="1040" xr:uid="{00000000-0005-0000-0000-000015040000}"/>
    <cellStyle name="T_NPP Khanh Vinh Thai Nguyen - BC KTTB_CTrinh_TB__20_loc__Milk_Yomilk_CK1_Book1" xfId="1041" xr:uid="{00000000-0005-0000-0000-000016040000}"/>
    <cellStyle name="T_QL10" xfId="1042" xr:uid="{00000000-0005-0000-0000-000017040000}"/>
    <cellStyle name="T_Sheet1" xfId="1043" xr:uid="{00000000-0005-0000-0000-000018040000}"/>
    <cellStyle name="T_Sheet1_4 BCTC Cong nghe toan nang" xfId="1044" xr:uid="{00000000-0005-0000-0000-000019040000}"/>
    <cellStyle name="T_Sheet1_Book1" xfId="1045" xr:uid="{00000000-0005-0000-0000-00001A040000}"/>
    <cellStyle name="T_sua chua cham trung bay  mien Bac" xfId="1046" xr:uid="{00000000-0005-0000-0000-00001B040000}"/>
    <cellStyle name="T_sua chua cham trung bay  mien Bac_4 BCTC Cong nghe toan nang" xfId="1047" xr:uid="{00000000-0005-0000-0000-00001C040000}"/>
    <cellStyle name="T_sua chua cham trung bay  mien Bac_Book1" xfId="1048" xr:uid="{00000000-0005-0000-0000-00001D040000}"/>
    <cellStyle name="T_Thiet bi" xfId="1049" xr:uid="{00000000-0005-0000-0000-00001E040000}"/>
    <cellStyle name="T_TK 51136" xfId="1050" xr:uid="{00000000-0005-0000-0000-00001F040000}"/>
    <cellStyle name="T_TSCD" xfId="1051" xr:uid="{00000000-0005-0000-0000-000020040000}"/>
    <cellStyle name="T_Uniworld Payroll 18.Mar'06" xfId="1052" xr:uid="{00000000-0005-0000-0000-000021040000}"/>
    <cellStyle name="T_W.P - Huoi Quang" xfId="1053" xr:uid="{00000000-0005-0000-0000-000022040000}"/>
    <cellStyle name="T_WP Alphanam" xfId="1054" xr:uid="{00000000-0005-0000-0000-000023040000}"/>
    <cellStyle name="T_WP ban nam chien" xfId="1055" xr:uid="{00000000-0005-0000-0000-000024040000}"/>
    <cellStyle name="T_WP CN Tuyen Quang" xfId="1056" xr:uid="{00000000-0005-0000-0000-000025040000}"/>
    <cellStyle name="T_WP Phan tich tuoi no- TK 131" xfId="1057" xr:uid="{00000000-0005-0000-0000-000026040000}"/>
    <cellStyle name="T_WP. CN Vinh Phuc" xfId="1058" xr:uid="{00000000-0005-0000-0000-000027040000}"/>
    <cellStyle name="Table" xfId="1059" xr:uid="{00000000-0005-0000-0000-000028040000}"/>
    <cellStyle name="Tentruong" xfId="1060" xr:uid="{00000000-0005-0000-0000-000029040000}"/>
    <cellStyle name="Tentruong 2" xfId="1061" xr:uid="{00000000-0005-0000-0000-00002A040000}"/>
    <cellStyle name="Text Indent A" xfId="1062" xr:uid="{00000000-0005-0000-0000-00002B040000}"/>
    <cellStyle name="Text Indent B" xfId="1063" xr:uid="{00000000-0005-0000-0000-00002C040000}"/>
    <cellStyle name="Text Indent C" xfId="1064" xr:uid="{00000000-0005-0000-0000-00002D040000}"/>
    <cellStyle name="th" xfId="1065" xr:uid="{00000000-0005-0000-0000-00002E040000}"/>
    <cellStyle name="þ_x001d_ð¤_x000c_¯þ_x0014__x000d_¨þU_x0001_À_x0004_ _x0015__x000f__x0001_" xfId="1066" xr:uid="{00000000-0005-0000-0000-00002F040000}"/>
    <cellStyle name="þ_x001d_ð¤_x000c_¯þ_x0014__x000d_¨þU_x0001_À_x0004_ _x0015__x000f__x0001__x0001_" xfId="1067" xr:uid="{00000000-0005-0000-0000-000030040000}"/>
    <cellStyle name="þ_x001d_ð¤_x000c_¯þ_x0014__x000d_¨þU_x0001_À_x0004_ _x0015__x000f__x0001__4 BCTC Cong nghe toan nang" xfId="1068" xr:uid="{00000000-0005-0000-0000-000031040000}"/>
    <cellStyle name="þ_x001d_ð·_x000c_æþ'_x000d_ßþU_x0001_Ø_x0005_ü_x0014__x0007__x0001__x0001_" xfId="1069" xr:uid="{00000000-0005-0000-0000-000032040000}"/>
    <cellStyle name="þ_x001d_ðK_x000c_Fý_x001b__x000d_9ýU_x0001_Ð_x0008_¦)_x0007__x0001__x0001_" xfId="1070" xr:uid="{00000000-0005-0000-0000-000033040000}"/>
    <cellStyle name="thvt" xfId="1071" xr:uid="{00000000-0005-0000-0000-000034040000}"/>
    <cellStyle name="Times New Roman" xfId="1072" xr:uid="{00000000-0005-0000-0000-000035040000}"/>
    <cellStyle name="Total (blue)" xfId="1073" xr:uid="{00000000-0005-0000-0000-000036040000}"/>
    <cellStyle name="Total (Gray)" xfId="1074" xr:uid="{00000000-0005-0000-0000-000037040000}"/>
    <cellStyle name="tt1" xfId="1075" xr:uid="{00000000-0005-0000-0000-000038040000}"/>
    <cellStyle name="Tusental (0)_pldt" xfId="1076" xr:uid="{00000000-0005-0000-0000-000039040000}"/>
    <cellStyle name="Tusental_NPV" xfId="1077" xr:uid="{00000000-0005-0000-0000-00003A040000}"/>
    <cellStyle name="_x0014_u" xfId="1078" xr:uid="{00000000-0005-0000-0000-00003B040000}"/>
    <cellStyle name="_x0014_ur?" xfId="1079" xr:uid="{00000000-0005-0000-0000-00003C040000}"/>
    <cellStyle name="_x0014_ur℀" xfId="1080" xr:uid="{00000000-0005-0000-0000-00003D040000}"/>
    <cellStyle name="ux_3_¼­¿ï-¾È»ê" xfId="1081" xr:uid="{00000000-0005-0000-0000-00003E040000}"/>
    <cellStyle name="Valuta (0)_pldt" xfId="1082" xr:uid="{00000000-0005-0000-0000-00003F040000}"/>
    <cellStyle name="Valuta_NPV" xfId="1083" xr:uid="{00000000-0005-0000-0000-000040040000}"/>
    <cellStyle name="viet" xfId="1084" xr:uid="{00000000-0005-0000-0000-000041040000}"/>
    <cellStyle name="viet2" xfId="1085" xr:uid="{00000000-0005-0000-0000-000042040000}"/>
    <cellStyle name="VN new romanNormal" xfId="1086" xr:uid="{00000000-0005-0000-0000-000043040000}"/>
    <cellStyle name="VN time new roman" xfId="1087" xr:uid="{00000000-0005-0000-0000-000044040000}"/>
    <cellStyle name="vnbo" xfId="1088" xr:uid="{00000000-0005-0000-0000-000045040000}"/>
    <cellStyle name="vnhead1" xfId="1089" xr:uid="{00000000-0005-0000-0000-000046040000}"/>
    <cellStyle name="vnhead2" xfId="1090" xr:uid="{00000000-0005-0000-0000-000047040000}"/>
    <cellStyle name="vnhead3" xfId="1091" xr:uid="{00000000-0005-0000-0000-000048040000}"/>
    <cellStyle name="vnhead4" xfId="1092" xr:uid="{00000000-0005-0000-0000-000049040000}"/>
    <cellStyle name="vntime" xfId="1093" xr:uid="{00000000-0005-0000-0000-00004A040000}"/>
    <cellStyle name="vntxt1" xfId="1094" xr:uid="{00000000-0005-0000-0000-00004B040000}"/>
    <cellStyle name="vntxt2" xfId="1095" xr:uid="{00000000-0005-0000-0000-00004C040000}"/>
    <cellStyle name="Währung [0]_68574_Materialbedarfsliste" xfId="1096" xr:uid="{00000000-0005-0000-0000-00004D040000}"/>
    <cellStyle name="Währung_68574_Materialbedarfsliste" xfId="1097" xr:uid="{00000000-0005-0000-0000-00004E040000}"/>
    <cellStyle name="Walutowy [0]_Invoices2001Slovakia" xfId="1098" xr:uid="{00000000-0005-0000-0000-00004F040000}"/>
    <cellStyle name="Walutowy_Invoices2001Slovakia" xfId="1099" xr:uid="{00000000-0005-0000-0000-000050040000}"/>
    <cellStyle name="WHead - Style2" xfId="1100" xr:uid="{00000000-0005-0000-0000-000051040000}"/>
    <cellStyle name="W臧rung [0]_Compiling Utility Macross" xfId="1101" xr:uid="{00000000-0005-0000-0000-000052040000}"/>
    <cellStyle name="W臧rung_Compiling Utility Macrosc" xfId="1102" xr:uid="{00000000-0005-0000-0000-000053040000}"/>
    <cellStyle name="xuan" xfId="1103" xr:uid="{00000000-0005-0000-0000-000054040000}"/>
    <cellStyle name="Ý kh¸c_B¶ng 1 (2)" xfId="1104" xr:uid="{00000000-0005-0000-0000-000055040000}"/>
    <cellStyle name="ｹ鮗ﾐﾀｲ_ｰ豼ｵﾁ･" xfId="1105" xr:uid="{00000000-0005-0000-0000-000056040000}"/>
    <cellStyle name="ﾄﾞｸｶ [0]_ｰ霾ｹ" xfId="1106" xr:uid="{00000000-0005-0000-0000-000057040000}"/>
    <cellStyle name="ﾄﾞｸｶ_ｰ霾ｹ" xfId="1107" xr:uid="{00000000-0005-0000-0000-000058040000}"/>
    <cellStyle name="ﾅ・ｭ [0]_ｰ霾ｹ" xfId="1108" xr:uid="{00000000-0005-0000-0000-000059040000}"/>
    <cellStyle name="ﾅ・ｭ_ｰ霾ｹ" xfId="1109" xr:uid="{00000000-0005-0000-0000-00005A040000}"/>
    <cellStyle name="ﾇ･ﾁﾘ_ｰ霾ｹ" xfId="1110" xr:uid="{00000000-0005-0000-0000-00005B040000}"/>
    <cellStyle name="ハイパーリンク" xfId="1111" xr:uid="{00000000-0005-0000-0000-00005C040000}"/>
    <cellStyle name="เครื่องหมายจุลภาค [0]_C100MLA-1" xfId="1112" xr:uid="{00000000-0005-0000-0000-00005D040000}"/>
    <cellStyle name="เครื่องหมายจุลภาค_C100MLA-1" xfId="1113" xr:uid="{00000000-0005-0000-0000-00005E040000}"/>
    <cellStyle name="เครื่องหมายสกุลเงิน [0]_Anurak" xfId="1114" xr:uid="{00000000-0005-0000-0000-00005F040000}"/>
    <cellStyle name="เครื่องหมายสกุลเงิน_Anurak" xfId="1115" xr:uid="{00000000-0005-0000-0000-000060040000}"/>
    <cellStyle name="ปกติ_ac" xfId="1116" xr:uid="{00000000-0005-0000-0000-000061040000}"/>
    <cellStyle name="㍉BOOK1" xfId="1117" xr:uid="{00000000-0005-0000-0000-000062040000}"/>
    <cellStyle name="㍉STA-DRP" xfId="1118" xr:uid="{00000000-0005-0000-0000-000063040000}"/>
    <cellStyle name=" [0.00]_ Att. 1- Cover" xfId="1119" xr:uid="{00000000-0005-0000-0000-000064040000}"/>
    <cellStyle name="_ Att. 1- Cover" xfId="1120" xr:uid="{00000000-0005-0000-0000-000065040000}"/>
    <cellStyle name="?_ Att. 1- Cover" xfId="1121" xr:uid="{00000000-0005-0000-0000-000066040000}"/>
    <cellStyle name="똿뗦먛귟 [0.00]_PRODUCT DETAIL Q1" xfId="1122" xr:uid="{00000000-0005-0000-0000-000067040000}"/>
    <cellStyle name="똿뗦먛귟_PRODUCT DETAIL Q1" xfId="1123" xr:uid="{00000000-0005-0000-0000-000068040000}"/>
    <cellStyle name="믅됞 [0.00]_PRODUCT DETAIL Q1" xfId="1124" xr:uid="{00000000-0005-0000-0000-000069040000}"/>
    <cellStyle name="믅됞_PRODUCT DETAIL Q1" xfId="1125" xr:uid="{00000000-0005-0000-0000-00006A040000}"/>
    <cellStyle name="백분율_95" xfId="1126" xr:uid="{00000000-0005-0000-0000-00006B040000}"/>
    <cellStyle name="뷭?_BOOKSHIP" xfId="1127" xr:uid="{00000000-0005-0000-0000-00006C040000}"/>
    <cellStyle name="콤마 [ - 유형1" xfId="1128" xr:uid="{00000000-0005-0000-0000-00006D040000}"/>
    <cellStyle name="콤마 [ - 유형2" xfId="1129" xr:uid="{00000000-0005-0000-0000-00006E040000}"/>
    <cellStyle name="콤마 [ - 유형3" xfId="1130" xr:uid="{00000000-0005-0000-0000-00006F040000}"/>
    <cellStyle name="콤마 [ - 유형4" xfId="1131" xr:uid="{00000000-0005-0000-0000-000070040000}"/>
    <cellStyle name="콤마 [ - 유형5" xfId="1132" xr:uid="{00000000-0005-0000-0000-000071040000}"/>
    <cellStyle name="콤마 [ - 유형6" xfId="1133" xr:uid="{00000000-0005-0000-0000-000072040000}"/>
    <cellStyle name="콤마 [ - 유형7" xfId="1134" xr:uid="{00000000-0005-0000-0000-000073040000}"/>
    <cellStyle name="콤마 [ - 유형8" xfId="1135" xr:uid="{00000000-0005-0000-0000-000074040000}"/>
    <cellStyle name="콤마 [0]_ 비목별 월별기술 " xfId="1136" xr:uid="{00000000-0005-0000-0000-000075040000}"/>
    <cellStyle name="콤마_ 비목별 월별기술 " xfId="1137" xr:uid="{00000000-0005-0000-0000-000076040000}"/>
    <cellStyle name="통화 [0]_1202" xfId="1138" xr:uid="{00000000-0005-0000-0000-000077040000}"/>
    <cellStyle name="통화_1202" xfId="1139" xr:uid="{00000000-0005-0000-0000-000078040000}"/>
    <cellStyle name="표준_(정보부문)월별인원계획" xfId="1140" xr:uid="{00000000-0005-0000-0000-000079040000}"/>
    <cellStyle name="표줠_Sheet1_1_총괄표 (수출입) (2)" xfId="1141" xr:uid="{00000000-0005-0000-0000-00007A040000}"/>
    <cellStyle name="一般" xfId="1142" xr:uid="{00000000-0005-0000-0000-00007B040000}"/>
    <cellStyle name="千位分隔[0]_0409実行" xfId="1143" xr:uid="{00000000-0005-0000-0000-00007C040000}"/>
    <cellStyle name="千位分隔_10" xfId="1144" xr:uid="{00000000-0005-0000-0000-00007D040000}"/>
    <cellStyle name="千分位" xfId="1145" xr:uid="{00000000-0005-0000-0000-00007E040000}"/>
    <cellStyle name="千分位[0]" xfId="1146" xr:uid="{00000000-0005-0000-0000-00007F040000}"/>
    <cellStyle name="千分位_00Q3902REV.1" xfId="1147" xr:uid="{00000000-0005-0000-0000-000080040000}"/>
    <cellStyle name="常规 3 2" xfId="1171" xr:uid="{E9049754-1569-40C4-AD2E-F52F39841DDB}"/>
    <cellStyle name="常规_1" xfId="1148" xr:uid="{00000000-0005-0000-0000-000081040000}"/>
    <cellStyle name="未定義" xfId="1149" xr:uid="{00000000-0005-0000-0000-000082040000}"/>
    <cellStyle name="桁区切り [0.00]_††††† " xfId="1150" xr:uid="{00000000-0005-0000-0000-000083040000}"/>
    <cellStyle name="桁区切り_††††† " xfId="1151" xr:uid="{00000000-0005-0000-0000-000084040000}"/>
    <cellStyle name="桁蟻唇Ｆ [0.00]_DATA" xfId="1152" xr:uid="{00000000-0005-0000-0000-000085040000}"/>
    <cellStyle name="桁蟻唇Ｆ_DATA" xfId="1153" xr:uid="{00000000-0005-0000-0000-000086040000}"/>
    <cellStyle name="標準_~8103382" xfId="1154" xr:uid="{00000000-0005-0000-0000-000087040000}"/>
    <cellStyle name="百分比" xfId="1155" xr:uid="{00000000-0005-0000-0000-000088040000}"/>
    <cellStyle name="脱浦 [0.00]_DATA" xfId="1156" xr:uid="{00000000-0005-0000-0000-000089040000}"/>
    <cellStyle name="脱浦_DATA" xfId="1157" xr:uid="{00000000-0005-0000-0000-00008A040000}"/>
    <cellStyle name="表示済みのハイパーリンク" xfId="1158" xr:uid="{00000000-0005-0000-0000-00008B040000}"/>
    <cellStyle name="貨幣" xfId="1159" xr:uid="{00000000-0005-0000-0000-00008C040000}"/>
    <cellStyle name="貨幣 [0]" xfId="1160" xr:uid="{00000000-0005-0000-0000-00008D040000}"/>
    <cellStyle name="貨幣[0]_BRE" xfId="1161" xr:uid="{00000000-0005-0000-0000-00008E040000}"/>
    <cellStyle name="貨幣_00Q3902REV.1" xfId="1162" xr:uid="{00000000-0005-0000-0000-00008F040000}"/>
    <cellStyle name="超連結_Book1" xfId="1163" xr:uid="{00000000-0005-0000-0000-000090040000}"/>
    <cellStyle name="通貨 [0.00]_††††† " xfId="1164" xr:uid="{00000000-0005-0000-0000-000091040000}"/>
    <cellStyle name="通貨_††††† " xfId="1165" xr:uid="{00000000-0005-0000-0000-000092040000}"/>
    <cellStyle name="隨後的超連結_Book1" xfId="1166" xr:uid="{00000000-0005-0000-0000-000093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180976</xdr:rowOff>
    </xdr:from>
    <xdr:to>
      <xdr:col>1</xdr:col>
      <xdr:colOff>1827863</xdr:colOff>
      <xdr:row>1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85DF6-CA5F-4729-8F31-A056D9564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80976"/>
          <a:ext cx="2018363" cy="9048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180976</xdr:rowOff>
    </xdr:from>
    <xdr:to>
      <xdr:col>1</xdr:col>
      <xdr:colOff>1453994</xdr:colOff>
      <xdr:row>1</xdr:row>
      <xdr:rowOff>742950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8AFB27-A23F-47B5-B8EB-0B2EC356B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80976"/>
          <a:ext cx="2018363" cy="8762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180976</xdr:rowOff>
    </xdr:from>
    <xdr:to>
      <xdr:col>1</xdr:col>
      <xdr:colOff>1827863</xdr:colOff>
      <xdr:row>1</xdr:row>
      <xdr:rowOff>771525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55572-F43E-47B4-976C-53E6416E8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80976"/>
          <a:ext cx="2018363" cy="904874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0</xdr:row>
      <xdr:rowOff>180976</xdr:rowOff>
    </xdr:from>
    <xdr:to>
      <xdr:col>1</xdr:col>
      <xdr:colOff>1827863</xdr:colOff>
      <xdr:row>1</xdr:row>
      <xdr:rowOff>771525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DD8998-0543-4A18-BA8E-1CBF6FC5E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80976"/>
          <a:ext cx="2018363" cy="9048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190501</xdr:rowOff>
    </xdr:from>
    <xdr:to>
      <xdr:col>1</xdr:col>
      <xdr:colOff>1885013</xdr:colOff>
      <xdr:row>1</xdr:row>
      <xdr:rowOff>742950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F69FE-B959-465D-B026-06A2C5DD8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90501"/>
          <a:ext cx="2018363" cy="866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75D3-EF41-48D5-8FF0-22F1B9C66059}">
  <sheetPr>
    <pageSetUpPr fitToPage="1"/>
  </sheetPr>
  <dimension ref="A1:L27"/>
  <sheetViews>
    <sheetView zoomScale="70" zoomScaleNormal="70" zoomScaleSheetLayoutView="100" workbookViewId="0">
      <selection sqref="A1:XFD1048576"/>
    </sheetView>
  </sheetViews>
  <sheetFormatPr defaultColWidth="9.140625" defaultRowHeight="18.75"/>
  <cols>
    <col min="1" max="1" width="4.85546875" style="1" customWidth="1"/>
    <col min="2" max="2" width="31.140625" style="1" customWidth="1"/>
    <col min="3" max="3" width="56.7109375" style="1" customWidth="1"/>
    <col min="4" max="4" width="22.42578125" style="1" bestFit="1" customWidth="1"/>
    <col min="5" max="5" width="41" style="1" bestFit="1" customWidth="1"/>
    <col min="6" max="6" width="11.7109375" style="1" bestFit="1" customWidth="1"/>
    <col min="7" max="7" width="11.140625" style="1" bestFit="1" customWidth="1"/>
    <col min="8" max="8" width="12.7109375" style="1" customWidth="1"/>
    <col min="9" max="9" width="14" style="1" customWidth="1"/>
    <col min="10" max="10" width="15.28515625" style="1" customWidth="1"/>
    <col min="11" max="11" width="14" style="1" bestFit="1" customWidth="1"/>
    <col min="12" max="12" width="20.85546875" style="1" bestFit="1" customWidth="1"/>
    <col min="13" max="16384" width="9.140625" style="1"/>
  </cols>
  <sheetData>
    <row r="1" spans="1:12" ht="24.95" customHeight="1">
      <c r="A1" s="104"/>
      <c r="B1" s="105"/>
      <c r="C1" s="108" t="s">
        <v>6</v>
      </c>
      <c r="D1" s="108"/>
      <c r="E1" s="108"/>
      <c r="F1" s="109"/>
      <c r="G1" s="109"/>
      <c r="H1" s="110"/>
    </row>
    <row r="2" spans="1:12" ht="69" customHeight="1">
      <c r="A2" s="106"/>
      <c r="B2" s="107"/>
      <c r="C2" s="111" t="s">
        <v>54</v>
      </c>
      <c r="D2" s="112"/>
      <c r="E2" s="2" t="s">
        <v>22</v>
      </c>
      <c r="F2" s="3" t="s">
        <v>7</v>
      </c>
      <c r="G2" s="113" t="s">
        <v>8</v>
      </c>
      <c r="H2" s="114"/>
    </row>
    <row r="3" spans="1:12" ht="65.25" customHeight="1">
      <c r="A3" s="100" t="s">
        <v>27</v>
      </c>
      <c r="B3" s="101"/>
      <c r="C3" s="102" t="s">
        <v>28</v>
      </c>
      <c r="D3" s="102"/>
      <c r="E3" s="102" t="s">
        <v>29</v>
      </c>
      <c r="F3" s="102"/>
      <c r="G3" s="102"/>
      <c r="H3" s="103"/>
    </row>
    <row r="4" spans="1:12" ht="20.25" customHeight="1">
      <c r="A4" s="91" t="s">
        <v>24</v>
      </c>
      <c r="B4" s="92"/>
      <c r="C4" s="92" t="s">
        <v>23</v>
      </c>
      <c r="D4" s="92"/>
      <c r="E4" s="92" t="s">
        <v>25</v>
      </c>
      <c r="F4" s="92"/>
      <c r="G4" s="92"/>
      <c r="H4" s="93"/>
    </row>
    <row r="5" spans="1:12" ht="36" customHeight="1">
      <c r="A5" s="94" t="s">
        <v>30</v>
      </c>
      <c r="B5" s="95"/>
      <c r="C5" s="96" t="s">
        <v>9</v>
      </c>
      <c r="D5" s="97"/>
      <c r="E5" s="98" t="s">
        <v>10</v>
      </c>
      <c r="F5" s="98"/>
      <c r="G5" s="98"/>
      <c r="H5" s="99"/>
    </row>
    <row r="6" spans="1:12" ht="57" customHeight="1">
      <c r="A6" s="4" t="s">
        <v>11</v>
      </c>
      <c r="B6" s="4" t="s">
        <v>12</v>
      </c>
      <c r="C6" s="4" t="s">
        <v>13</v>
      </c>
      <c r="D6" s="4" t="s">
        <v>5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12" ht="24" customHeight="1">
      <c r="A7" s="5" t="s">
        <v>1</v>
      </c>
      <c r="B7" s="89" t="s">
        <v>21</v>
      </c>
      <c r="C7" s="89"/>
      <c r="D7" s="89"/>
      <c r="E7" s="89"/>
      <c r="F7" s="89"/>
      <c r="G7" s="89"/>
      <c r="H7" s="89"/>
    </row>
    <row r="8" spans="1:12" ht="24" customHeight="1">
      <c r="A8" s="6">
        <v>1</v>
      </c>
      <c r="B8" s="7"/>
      <c r="C8" s="8"/>
      <c r="D8" s="9"/>
      <c r="E8" s="7"/>
      <c r="F8" s="10"/>
      <c r="G8" s="9"/>
      <c r="H8" s="9"/>
    </row>
    <row r="9" spans="1:12" ht="24" customHeight="1">
      <c r="A9" s="6">
        <v>2</v>
      </c>
      <c r="B9" s="7"/>
      <c r="C9" s="11"/>
      <c r="D9" s="9"/>
      <c r="E9" s="7"/>
      <c r="F9" s="10"/>
      <c r="G9" s="9"/>
      <c r="H9" s="9"/>
    </row>
    <row r="10" spans="1:12" ht="24" customHeight="1">
      <c r="A10" s="5" t="s">
        <v>2</v>
      </c>
      <c r="B10" s="89" t="s">
        <v>20</v>
      </c>
      <c r="C10" s="89"/>
      <c r="D10" s="89"/>
      <c r="E10" s="89"/>
      <c r="F10" s="89"/>
      <c r="G10" s="89"/>
      <c r="H10" s="89"/>
    </row>
    <row r="11" spans="1:12" ht="24" customHeight="1">
      <c r="A11" s="6">
        <v>1</v>
      </c>
      <c r="B11" s="12"/>
      <c r="C11" s="8"/>
      <c r="D11" s="13"/>
      <c r="E11" s="7"/>
      <c r="F11" s="6"/>
      <c r="G11" s="14"/>
      <c r="H11" s="9"/>
    </row>
    <row r="12" spans="1:12" ht="24" customHeight="1">
      <c r="A12" s="6">
        <v>2</v>
      </c>
      <c r="B12" s="12"/>
      <c r="C12" s="15"/>
      <c r="D12" s="13"/>
      <c r="E12" s="7"/>
      <c r="F12" s="6"/>
      <c r="G12" s="14"/>
      <c r="H12" s="9"/>
    </row>
    <row r="13" spans="1:12" ht="24" customHeight="1">
      <c r="A13" s="5" t="s">
        <v>3</v>
      </c>
      <c r="B13" s="89" t="s">
        <v>19</v>
      </c>
      <c r="C13" s="89"/>
      <c r="D13" s="89"/>
      <c r="E13" s="89"/>
      <c r="F13" s="89"/>
      <c r="G13" s="89"/>
      <c r="H13" s="89"/>
    </row>
    <row r="14" spans="1:12" ht="24" customHeight="1">
      <c r="A14" s="6">
        <v>1</v>
      </c>
      <c r="B14" s="7"/>
      <c r="C14" s="18"/>
      <c r="D14" s="9"/>
      <c r="E14" s="7"/>
      <c r="F14" s="10"/>
      <c r="G14" s="9"/>
      <c r="H14" s="9"/>
    </row>
    <row r="15" spans="1:12" ht="24" customHeight="1">
      <c r="A15" s="6">
        <v>2</v>
      </c>
      <c r="B15" s="7"/>
      <c r="C15" s="18"/>
      <c r="D15" s="9"/>
      <c r="E15" s="7"/>
      <c r="F15" s="10"/>
      <c r="G15" s="9"/>
      <c r="H15" s="9"/>
    </row>
    <row r="16" spans="1:12" ht="24" customHeight="1">
      <c r="A16" s="5" t="s">
        <v>4</v>
      </c>
      <c r="B16" s="89" t="s">
        <v>31</v>
      </c>
      <c r="C16" s="89"/>
      <c r="D16" s="89"/>
      <c r="E16" s="89"/>
      <c r="F16" s="89"/>
      <c r="G16" s="89"/>
      <c r="H16" s="89"/>
      <c r="I16" s="52" t="s">
        <v>70</v>
      </c>
      <c r="J16" s="52">
        <v>26000</v>
      </c>
      <c r="L16" s="45"/>
    </row>
    <row r="17" spans="1:11" ht="33" customHeight="1">
      <c r="A17" s="20">
        <v>1</v>
      </c>
      <c r="B17" s="21" t="s">
        <v>32</v>
      </c>
      <c r="C17" s="22" t="s">
        <v>39</v>
      </c>
      <c r="D17" s="23" t="s">
        <v>40</v>
      </c>
      <c r="E17" s="24"/>
      <c r="F17" s="25">
        <v>1</v>
      </c>
      <c r="G17" s="25">
        <v>1</v>
      </c>
      <c r="H17" s="26" t="s">
        <v>0</v>
      </c>
      <c r="I17" s="47">
        <v>5429</v>
      </c>
      <c r="J17" s="48">
        <f>I17*$J$16</f>
        <v>141154000</v>
      </c>
      <c r="K17" s="45"/>
    </row>
    <row r="18" spans="1:11" ht="33" customHeight="1">
      <c r="A18" s="20">
        <v>2</v>
      </c>
      <c r="B18" s="21" t="s">
        <v>63</v>
      </c>
      <c r="C18" s="22" t="s">
        <v>64</v>
      </c>
      <c r="D18" s="23" t="s">
        <v>40</v>
      </c>
      <c r="E18" s="24"/>
      <c r="F18" s="25">
        <v>1</v>
      </c>
      <c r="G18" s="25">
        <v>1</v>
      </c>
      <c r="H18" s="26" t="s">
        <v>0</v>
      </c>
      <c r="I18" s="47">
        <v>86</v>
      </c>
      <c r="J18" s="48">
        <f t="shared" ref="J18:J19" si="0">I18*$J$16</f>
        <v>2236000</v>
      </c>
      <c r="K18" s="45"/>
    </row>
    <row r="19" spans="1:11" ht="33" customHeight="1">
      <c r="A19" s="20">
        <v>3</v>
      </c>
      <c r="B19" s="21" t="s">
        <v>62</v>
      </c>
      <c r="C19" s="22" t="s">
        <v>65</v>
      </c>
      <c r="D19" s="23" t="s">
        <v>40</v>
      </c>
      <c r="E19" s="24"/>
      <c r="F19" s="25">
        <v>1</v>
      </c>
      <c r="G19" s="25">
        <v>1</v>
      </c>
      <c r="H19" s="26" t="s">
        <v>0</v>
      </c>
      <c r="I19" s="47">
        <v>93</v>
      </c>
      <c r="J19" s="48">
        <f t="shared" si="0"/>
        <v>2418000</v>
      </c>
      <c r="K19" s="45"/>
    </row>
    <row r="20" spans="1:11" ht="37.5">
      <c r="A20" s="20">
        <v>4</v>
      </c>
      <c r="B20" s="21" t="s">
        <v>35</v>
      </c>
      <c r="C20" s="22">
        <v>110242001</v>
      </c>
      <c r="D20" s="23" t="s">
        <v>41</v>
      </c>
      <c r="E20" s="30" t="s">
        <v>47</v>
      </c>
      <c r="F20" s="25">
        <v>1</v>
      </c>
      <c r="G20" s="25">
        <v>1</v>
      </c>
      <c r="H20" s="26" t="s">
        <v>0</v>
      </c>
      <c r="I20" s="49"/>
      <c r="J20" s="50">
        <v>36000000</v>
      </c>
    </row>
    <row r="21" spans="1:11" ht="33" customHeight="1">
      <c r="A21" s="20">
        <v>5</v>
      </c>
      <c r="B21" s="21" t="s">
        <v>26</v>
      </c>
      <c r="C21" s="31" t="s">
        <v>48</v>
      </c>
      <c r="D21" s="23" t="s">
        <v>42</v>
      </c>
      <c r="E21" s="24"/>
      <c r="F21" s="25">
        <v>1</v>
      </c>
      <c r="G21" s="25">
        <v>1</v>
      </c>
      <c r="H21" s="26" t="s">
        <v>46</v>
      </c>
      <c r="I21" s="46"/>
      <c r="J21" s="50">
        <v>35000000</v>
      </c>
    </row>
    <row r="22" spans="1:11" ht="33" customHeight="1">
      <c r="A22" s="20">
        <v>6</v>
      </c>
      <c r="B22" s="21" t="s">
        <v>36</v>
      </c>
      <c r="C22" s="22" t="s">
        <v>68</v>
      </c>
      <c r="D22" s="23" t="s">
        <v>43</v>
      </c>
      <c r="E22" s="24"/>
      <c r="F22" s="25">
        <v>1</v>
      </c>
      <c r="G22" s="25">
        <v>1</v>
      </c>
      <c r="H22" s="26" t="s">
        <v>0</v>
      </c>
      <c r="I22" s="46"/>
      <c r="J22" s="50">
        <v>2200000</v>
      </c>
    </row>
    <row r="23" spans="1:11" ht="33" customHeight="1">
      <c r="A23" s="20">
        <v>7</v>
      </c>
      <c r="B23" s="21" t="s">
        <v>37</v>
      </c>
      <c r="C23" s="22" t="s">
        <v>50</v>
      </c>
      <c r="D23" s="23" t="s">
        <v>44</v>
      </c>
      <c r="E23" s="24"/>
      <c r="F23" s="25">
        <v>1</v>
      </c>
      <c r="G23" s="25">
        <v>1</v>
      </c>
      <c r="H23" s="26" t="s">
        <v>0</v>
      </c>
      <c r="I23" s="46"/>
      <c r="J23" s="50">
        <v>800000</v>
      </c>
    </row>
    <row r="24" spans="1:11" ht="33" customHeight="1">
      <c r="A24" s="20">
        <v>8</v>
      </c>
      <c r="B24" s="21" t="s">
        <v>38</v>
      </c>
      <c r="C24" s="22" t="s">
        <v>51</v>
      </c>
      <c r="D24" s="23" t="s">
        <v>45</v>
      </c>
      <c r="E24" s="24"/>
      <c r="F24" s="25">
        <v>1</v>
      </c>
      <c r="G24" s="25">
        <v>1</v>
      </c>
      <c r="H24" s="26" t="s">
        <v>0</v>
      </c>
      <c r="I24" s="46"/>
      <c r="J24" s="50">
        <v>250000</v>
      </c>
    </row>
    <row r="25" spans="1:11" ht="36.75" customHeight="1">
      <c r="A25" s="20">
        <v>9</v>
      </c>
      <c r="B25" s="21" t="s">
        <v>52</v>
      </c>
      <c r="C25" s="28" t="s">
        <v>66</v>
      </c>
      <c r="D25" s="23" t="s">
        <v>67</v>
      </c>
      <c r="E25" s="24"/>
      <c r="F25" s="25">
        <v>1</v>
      </c>
      <c r="G25" s="25">
        <v>1</v>
      </c>
      <c r="H25" s="26" t="s">
        <v>0</v>
      </c>
      <c r="I25" s="46"/>
      <c r="J25" s="50">
        <v>3700000</v>
      </c>
    </row>
    <row r="26" spans="1:11" ht="33" customHeight="1">
      <c r="A26" s="20">
        <v>10</v>
      </c>
      <c r="B26" s="21"/>
      <c r="C26" s="22"/>
      <c r="D26" s="23"/>
      <c r="E26" s="24"/>
      <c r="F26" s="25"/>
      <c r="G26" s="25"/>
      <c r="H26" s="26"/>
      <c r="I26" s="46"/>
      <c r="J26" s="49"/>
    </row>
    <row r="27" spans="1:11" ht="60" customHeight="1">
      <c r="A27" s="90" t="s">
        <v>18</v>
      </c>
      <c r="B27" s="90"/>
      <c r="C27" s="90"/>
      <c r="D27" s="90"/>
      <c r="E27" s="90"/>
      <c r="F27" s="90"/>
      <c r="G27" s="90"/>
      <c r="H27" s="90"/>
      <c r="I27" s="49" t="s">
        <v>69</v>
      </c>
      <c r="J27" s="51">
        <f>SUM(J17:J25)</f>
        <v>223758000</v>
      </c>
    </row>
  </sheetData>
  <mergeCells count="19">
    <mergeCell ref="A3:B3"/>
    <mergeCell ref="C3:D3"/>
    <mergeCell ref="E3:H3"/>
    <mergeCell ref="A1:B2"/>
    <mergeCell ref="C1:E1"/>
    <mergeCell ref="F1:H1"/>
    <mergeCell ref="C2:D2"/>
    <mergeCell ref="G2:H2"/>
    <mergeCell ref="A4:B4"/>
    <mergeCell ref="C4:D4"/>
    <mergeCell ref="E4:H4"/>
    <mergeCell ref="A5:B5"/>
    <mergeCell ref="C5:D5"/>
    <mergeCell ref="E5:H5"/>
    <mergeCell ref="B7:H7"/>
    <mergeCell ref="B10:H10"/>
    <mergeCell ref="B13:H13"/>
    <mergeCell ref="B16:H16"/>
    <mergeCell ref="A27:H27"/>
  </mergeCells>
  <pageMargins left="0.7" right="0.7" top="0.75" bottom="0.75" header="0.3" footer="0.3"/>
  <pageSetup scale="48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A8ED-D8BB-4FEA-BAD2-D51A97B70BDF}">
  <dimension ref="A1:I27"/>
  <sheetViews>
    <sheetView tabSelected="1" view="pageBreakPreview" zoomScale="70" zoomScaleNormal="70" zoomScaleSheetLayoutView="70" workbookViewId="0">
      <selection activeCell="E9" sqref="E9"/>
    </sheetView>
  </sheetViews>
  <sheetFormatPr defaultColWidth="9.140625" defaultRowHeight="18.75"/>
  <cols>
    <col min="1" max="1" width="10.28515625" style="1" bestFit="1" customWidth="1"/>
    <col min="2" max="2" width="33.7109375" style="1" customWidth="1"/>
    <col min="3" max="3" width="37.28515625" style="1" customWidth="1"/>
    <col min="4" max="4" width="22.42578125" style="1" bestFit="1" customWidth="1"/>
    <col min="5" max="5" width="43.140625" style="1" customWidth="1"/>
    <col min="6" max="6" width="11.7109375" style="1" bestFit="1" customWidth="1"/>
    <col min="7" max="7" width="11.140625" style="1" bestFit="1" customWidth="1"/>
    <col min="8" max="8" width="12.7109375" style="1" customWidth="1"/>
    <col min="9" max="9" width="14" style="1" bestFit="1" customWidth="1"/>
    <col min="10" max="10" width="9.140625" style="1"/>
    <col min="11" max="11" width="16.140625" style="1" bestFit="1" customWidth="1"/>
    <col min="12" max="16384" width="9.140625" style="1"/>
  </cols>
  <sheetData>
    <row r="1" spans="1:9" ht="24.95" customHeight="1">
      <c r="A1" s="104"/>
      <c r="B1" s="105"/>
      <c r="C1" s="119" t="s">
        <v>98</v>
      </c>
      <c r="D1" s="119"/>
      <c r="E1" s="119"/>
      <c r="F1" s="109"/>
      <c r="G1" s="109"/>
      <c r="H1" s="110"/>
    </row>
    <row r="2" spans="1:9" ht="93.75">
      <c r="A2" s="106"/>
      <c r="B2" s="107"/>
      <c r="C2" s="111" t="s">
        <v>97</v>
      </c>
      <c r="D2" s="112"/>
      <c r="E2" s="2" t="s">
        <v>22</v>
      </c>
      <c r="F2" s="3" t="s">
        <v>7</v>
      </c>
      <c r="G2" s="113" t="s">
        <v>8</v>
      </c>
      <c r="H2" s="114"/>
    </row>
    <row r="3" spans="1:9" ht="65.25" customHeight="1">
      <c r="A3" s="100" t="s">
        <v>27</v>
      </c>
      <c r="B3" s="101"/>
      <c r="C3" s="102" t="s">
        <v>28</v>
      </c>
      <c r="D3" s="102"/>
      <c r="E3" s="102" t="s">
        <v>29</v>
      </c>
      <c r="F3" s="102"/>
      <c r="G3" s="102"/>
      <c r="H3" s="103"/>
    </row>
    <row r="4" spans="1:9" ht="20.25" customHeight="1">
      <c r="A4" s="91" t="s">
        <v>94</v>
      </c>
      <c r="B4" s="92"/>
      <c r="C4" s="92" t="s">
        <v>96</v>
      </c>
      <c r="D4" s="92"/>
      <c r="E4" s="92" t="s">
        <v>24</v>
      </c>
      <c r="F4" s="92"/>
      <c r="G4" s="92"/>
      <c r="H4" s="93"/>
    </row>
    <row r="5" spans="1:9" ht="36" customHeight="1">
      <c r="A5" s="118" t="s">
        <v>95</v>
      </c>
      <c r="B5" s="98"/>
      <c r="C5" s="118" t="s">
        <v>95</v>
      </c>
      <c r="D5" s="98"/>
      <c r="E5" s="98" t="s">
        <v>10</v>
      </c>
      <c r="F5" s="98"/>
      <c r="G5" s="98"/>
      <c r="H5" s="99"/>
    </row>
    <row r="6" spans="1:9" ht="57" customHeight="1">
      <c r="A6" s="4" t="s">
        <v>11</v>
      </c>
      <c r="B6" s="4" t="s">
        <v>12</v>
      </c>
      <c r="C6" s="4" t="s">
        <v>13</v>
      </c>
      <c r="D6" s="4" t="s">
        <v>5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9" ht="24" customHeight="1">
      <c r="A7" s="5" t="s">
        <v>1</v>
      </c>
      <c r="B7" s="60" t="s">
        <v>75</v>
      </c>
      <c r="C7" s="60" t="s">
        <v>82</v>
      </c>
      <c r="D7" s="58"/>
      <c r="E7" s="58"/>
      <c r="F7" s="58"/>
      <c r="G7" s="58"/>
      <c r="H7" s="59"/>
    </row>
    <row r="8" spans="1:9" ht="33.75" customHeight="1">
      <c r="A8" s="20">
        <v>1</v>
      </c>
      <c r="B8" s="22" t="s">
        <v>92</v>
      </c>
      <c r="C8" s="22" t="s">
        <v>83</v>
      </c>
      <c r="D8" s="23" t="s">
        <v>84</v>
      </c>
      <c r="E8" s="61" t="s">
        <v>102</v>
      </c>
      <c r="F8" s="25">
        <v>2</v>
      </c>
      <c r="G8" s="25">
        <v>2</v>
      </c>
      <c r="H8" s="26" t="s">
        <v>0</v>
      </c>
      <c r="I8" s="45"/>
    </row>
    <row r="9" spans="1:9" ht="33" customHeight="1">
      <c r="A9" s="20">
        <v>2</v>
      </c>
      <c r="B9" s="22" t="s">
        <v>76</v>
      </c>
      <c r="C9" s="22" t="s">
        <v>85</v>
      </c>
      <c r="D9" s="23" t="s">
        <v>84</v>
      </c>
      <c r="E9" s="62" t="s">
        <v>101</v>
      </c>
      <c r="F9" s="25">
        <v>2</v>
      </c>
      <c r="G9" s="25">
        <v>2</v>
      </c>
      <c r="H9" s="26" t="s">
        <v>0</v>
      </c>
      <c r="I9" s="45"/>
    </row>
    <row r="10" spans="1:9" ht="33" customHeight="1">
      <c r="A10" s="20">
        <v>3</v>
      </c>
      <c r="B10" s="28" t="s">
        <v>99</v>
      </c>
      <c r="C10" s="22" t="s">
        <v>100</v>
      </c>
      <c r="D10" s="23" t="s">
        <v>79</v>
      </c>
      <c r="E10" s="62" t="s">
        <v>103</v>
      </c>
      <c r="F10" s="25">
        <v>2</v>
      </c>
      <c r="G10" s="25">
        <v>2</v>
      </c>
      <c r="H10" s="26" t="s">
        <v>0</v>
      </c>
      <c r="I10" s="45"/>
    </row>
    <row r="11" spans="1:9" ht="33" customHeight="1">
      <c r="A11" s="20">
        <v>4</v>
      </c>
      <c r="B11" s="22" t="s">
        <v>77</v>
      </c>
      <c r="C11" s="22" t="s">
        <v>88</v>
      </c>
      <c r="D11" s="23" t="s">
        <v>79</v>
      </c>
      <c r="E11" s="62"/>
      <c r="F11" s="25">
        <v>2</v>
      </c>
      <c r="G11" s="25">
        <v>2</v>
      </c>
      <c r="H11" s="26" t="s">
        <v>0</v>
      </c>
      <c r="I11" s="45"/>
    </row>
    <row r="12" spans="1:9" ht="40.5" customHeight="1">
      <c r="A12" s="20">
        <v>5</v>
      </c>
      <c r="B12" s="22" t="s">
        <v>81</v>
      </c>
      <c r="C12" s="28" t="s">
        <v>87</v>
      </c>
      <c r="D12" s="23" t="s">
        <v>84</v>
      </c>
      <c r="E12" s="62" t="s">
        <v>123</v>
      </c>
      <c r="F12" s="25">
        <v>2</v>
      </c>
      <c r="G12" s="25">
        <v>2</v>
      </c>
      <c r="H12" s="26" t="s">
        <v>0</v>
      </c>
      <c r="I12" s="45"/>
    </row>
    <row r="13" spans="1:9" ht="40.5" customHeight="1">
      <c r="A13" s="20">
        <v>6</v>
      </c>
      <c r="B13" s="22" t="s">
        <v>104</v>
      </c>
      <c r="C13" s="28" t="s">
        <v>122</v>
      </c>
      <c r="D13" s="23" t="s">
        <v>84</v>
      </c>
      <c r="E13" s="62" t="s">
        <v>123</v>
      </c>
      <c r="F13" s="25">
        <v>2</v>
      </c>
      <c r="G13" s="25">
        <v>2</v>
      </c>
      <c r="H13" s="26" t="s">
        <v>0</v>
      </c>
      <c r="I13" s="45"/>
    </row>
    <row r="14" spans="1:9" ht="33" customHeight="1">
      <c r="A14" s="5" t="s">
        <v>2</v>
      </c>
      <c r="B14" s="115" t="s">
        <v>26</v>
      </c>
      <c r="C14" s="116"/>
      <c r="D14" s="116"/>
      <c r="E14" s="116"/>
      <c r="F14" s="116"/>
      <c r="G14" s="116"/>
      <c r="H14" s="117"/>
    </row>
    <row r="15" spans="1:9" ht="251.25" customHeight="1">
      <c r="A15" s="63">
        <v>7</v>
      </c>
      <c r="B15" s="64" t="s">
        <v>105</v>
      </c>
      <c r="C15" s="65" t="s">
        <v>106</v>
      </c>
      <c r="D15" s="66" t="s">
        <v>42</v>
      </c>
      <c r="E15" s="67" t="s">
        <v>107</v>
      </c>
      <c r="F15" s="68">
        <v>1</v>
      </c>
      <c r="G15" s="68">
        <v>1</v>
      </c>
      <c r="H15" s="69" t="s">
        <v>46</v>
      </c>
    </row>
    <row r="16" spans="1:9" ht="39" customHeight="1">
      <c r="A16" s="63">
        <v>8</v>
      </c>
      <c r="B16" s="70" t="s">
        <v>72</v>
      </c>
      <c r="C16" s="71" t="s">
        <v>73</v>
      </c>
      <c r="D16" s="72" t="s">
        <v>108</v>
      </c>
      <c r="E16" s="30"/>
      <c r="F16" s="25">
        <v>1</v>
      </c>
      <c r="G16" s="25">
        <v>1</v>
      </c>
      <c r="H16" s="24" t="s">
        <v>0</v>
      </c>
    </row>
    <row r="17" spans="1:8" ht="39" customHeight="1">
      <c r="A17" s="63">
        <v>9</v>
      </c>
      <c r="B17" s="73" t="s">
        <v>109</v>
      </c>
      <c r="C17" s="74" t="s">
        <v>86</v>
      </c>
      <c r="D17" s="75" t="s">
        <v>80</v>
      </c>
      <c r="E17" s="76" t="s">
        <v>110</v>
      </c>
      <c r="F17" s="68">
        <v>1</v>
      </c>
      <c r="G17" s="68">
        <v>1</v>
      </c>
      <c r="H17" s="24" t="s">
        <v>0</v>
      </c>
    </row>
    <row r="18" spans="1:8" ht="39" customHeight="1">
      <c r="A18" s="63">
        <v>10</v>
      </c>
      <c r="B18" s="57" t="s">
        <v>111</v>
      </c>
      <c r="C18" s="77" t="s">
        <v>112</v>
      </c>
      <c r="D18" s="54" t="s">
        <v>113</v>
      </c>
      <c r="E18" s="78" t="s">
        <v>114</v>
      </c>
      <c r="F18" s="25">
        <v>1</v>
      </c>
      <c r="G18" s="25">
        <v>1</v>
      </c>
      <c r="H18" s="26" t="s">
        <v>0</v>
      </c>
    </row>
    <row r="19" spans="1:8" ht="39" customHeight="1">
      <c r="A19" s="63">
        <v>11</v>
      </c>
      <c r="B19" s="53" t="s">
        <v>115</v>
      </c>
      <c r="C19" s="79" t="s">
        <v>50</v>
      </c>
      <c r="D19" s="80" t="s">
        <v>44</v>
      </c>
      <c r="E19" s="81"/>
      <c r="F19" s="25">
        <v>1</v>
      </c>
      <c r="G19" s="25">
        <v>1</v>
      </c>
      <c r="H19" s="26" t="s">
        <v>0</v>
      </c>
    </row>
    <row r="20" spans="1:8" ht="39" customHeight="1">
      <c r="A20" s="63">
        <v>12</v>
      </c>
      <c r="B20" s="56" t="s">
        <v>71</v>
      </c>
      <c r="C20" s="53" t="s">
        <v>116</v>
      </c>
      <c r="D20" s="54" t="s">
        <v>43</v>
      </c>
      <c r="E20" s="82"/>
      <c r="F20" s="25">
        <v>1</v>
      </c>
      <c r="G20" s="25">
        <v>1</v>
      </c>
      <c r="H20" s="26" t="s">
        <v>0</v>
      </c>
    </row>
    <row r="21" spans="1:8" ht="30" customHeight="1">
      <c r="A21" s="5" t="s">
        <v>4</v>
      </c>
      <c r="B21" s="115" t="s">
        <v>74</v>
      </c>
      <c r="C21" s="116"/>
      <c r="D21" s="116"/>
      <c r="E21" s="116"/>
      <c r="F21" s="116"/>
      <c r="G21" s="116"/>
      <c r="H21" s="117"/>
    </row>
    <row r="22" spans="1:8" ht="33" customHeight="1">
      <c r="A22" s="20">
        <v>13</v>
      </c>
      <c r="B22" s="83" t="s">
        <v>117</v>
      </c>
      <c r="C22" s="53"/>
      <c r="D22" s="54" t="s">
        <v>93</v>
      </c>
      <c r="E22" s="81"/>
      <c r="F22" s="25">
        <v>1</v>
      </c>
      <c r="G22" s="25">
        <v>1</v>
      </c>
      <c r="H22" s="26" t="s">
        <v>0</v>
      </c>
    </row>
    <row r="23" spans="1:8" ht="33" customHeight="1">
      <c r="A23" s="20">
        <v>14</v>
      </c>
      <c r="B23" s="56" t="s">
        <v>78</v>
      </c>
      <c r="C23" s="53" t="s">
        <v>89</v>
      </c>
      <c r="D23" s="54" t="s">
        <v>79</v>
      </c>
      <c r="E23" s="55"/>
      <c r="F23" s="25">
        <v>1</v>
      </c>
      <c r="G23" s="25">
        <v>1</v>
      </c>
      <c r="H23" s="26" t="s">
        <v>0</v>
      </c>
    </row>
    <row r="24" spans="1:8" ht="33" customHeight="1">
      <c r="A24" s="20">
        <v>15</v>
      </c>
      <c r="B24" s="56" t="s">
        <v>121</v>
      </c>
      <c r="C24" s="53" t="s">
        <v>90</v>
      </c>
      <c r="D24" s="54" t="s">
        <v>45</v>
      </c>
      <c r="E24" s="55"/>
      <c r="F24" s="25">
        <v>1</v>
      </c>
      <c r="G24" s="25">
        <v>1</v>
      </c>
      <c r="H24" s="26" t="s">
        <v>0</v>
      </c>
    </row>
    <row r="25" spans="1:8" ht="33" customHeight="1">
      <c r="A25" s="20">
        <v>16</v>
      </c>
      <c r="B25" s="56" t="s">
        <v>120</v>
      </c>
      <c r="C25" s="53" t="s">
        <v>91</v>
      </c>
      <c r="D25" s="54" t="s">
        <v>45</v>
      </c>
      <c r="E25" s="81"/>
      <c r="F25" s="25">
        <v>1</v>
      </c>
      <c r="G25" s="25">
        <v>1</v>
      </c>
      <c r="H25" s="26" t="s">
        <v>0</v>
      </c>
    </row>
    <row r="26" spans="1:8" ht="33" customHeight="1">
      <c r="A26" s="20">
        <v>17</v>
      </c>
      <c r="B26" s="84" t="s">
        <v>118</v>
      </c>
      <c r="C26" s="85" t="s">
        <v>119</v>
      </c>
      <c r="D26" s="86" t="s">
        <v>45</v>
      </c>
      <c r="F26" s="87">
        <v>1</v>
      </c>
      <c r="G26" s="87">
        <v>1</v>
      </c>
      <c r="H26" s="88" t="s">
        <v>0</v>
      </c>
    </row>
    <row r="27" spans="1:8" ht="60" customHeight="1">
      <c r="A27" s="90" t="s">
        <v>18</v>
      </c>
      <c r="B27" s="90"/>
      <c r="C27" s="90"/>
      <c r="D27" s="90"/>
      <c r="E27" s="90"/>
      <c r="F27" s="90"/>
      <c r="G27" s="90"/>
      <c r="H27" s="90"/>
    </row>
  </sheetData>
  <autoFilter ref="A6:H23" xr:uid="{C060A8ED-D8BB-4FEA-BAD2-D51A97B70BDF}"/>
  <mergeCells count="17">
    <mergeCell ref="A3:B3"/>
    <mergeCell ref="C3:D3"/>
    <mergeCell ref="E3:H3"/>
    <mergeCell ref="A1:B2"/>
    <mergeCell ref="C1:E1"/>
    <mergeCell ref="F1:H1"/>
    <mergeCell ref="C2:D2"/>
    <mergeCell ref="G2:H2"/>
    <mergeCell ref="A27:H27"/>
    <mergeCell ref="B14:H14"/>
    <mergeCell ref="B21:H21"/>
    <mergeCell ref="A4:B4"/>
    <mergeCell ref="C4:D4"/>
    <mergeCell ref="E4:H4"/>
    <mergeCell ref="A5:B5"/>
    <mergeCell ref="C5:D5"/>
    <mergeCell ref="E5:H5"/>
  </mergeCells>
  <phoneticPr fontId="163" type="noConversion"/>
  <pageMargins left="0.7" right="0.7" top="0.75" bottom="0.75" header="0.3" footer="0.3"/>
  <pageSetup scale="51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C3BF-D0C8-4F33-BD09-0E2A96DE1E78}">
  <dimension ref="A1:J32"/>
  <sheetViews>
    <sheetView topLeftCell="A11" zoomScale="85" zoomScaleNormal="85" workbookViewId="0">
      <selection activeCell="J20" sqref="J20:J31"/>
    </sheetView>
  </sheetViews>
  <sheetFormatPr defaultColWidth="9.140625" defaultRowHeight="18.75"/>
  <cols>
    <col min="1" max="1" width="4.85546875" style="1" customWidth="1"/>
    <col min="2" max="2" width="31.140625" style="1" customWidth="1"/>
    <col min="3" max="3" width="56.7109375" style="1" customWidth="1"/>
    <col min="4" max="4" width="22.42578125" style="1" bestFit="1" customWidth="1"/>
    <col min="5" max="5" width="41" style="1" bestFit="1" customWidth="1"/>
    <col min="6" max="6" width="11.7109375" style="1" bestFit="1" customWidth="1"/>
    <col min="7" max="7" width="11.140625" style="1" bestFit="1" customWidth="1"/>
    <col min="8" max="8" width="12.7109375" style="1" customWidth="1"/>
    <col min="9" max="9" width="9.140625" style="1"/>
    <col min="10" max="10" width="14.28515625" style="1" bestFit="1" customWidth="1"/>
    <col min="11" max="16384" width="9.140625" style="1"/>
  </cols>
  <sheetData>
    <row r="1" spans="1:8" ht="24.95" customHeight="1">
      <c r="A1" s="104"/>
      <c r="B1" s="105"/>
      <c r="C1" s="108" t="s">
        <v>6</v>
      </c>
      <c r="D1" s="108"/>
      <c r="E1" s="108"/>
      <c r="F1" s="109"/>
      <c r="G1" s="109"/>
      <c r="H1" s="110"/>
    </row>
    <row r="2" spans="1:8" ht="69" customHeight="1">
      <c r="A2" s="106"/>
      <c r="B2" s="107"/>
      <c r="C2" s="111" t="s">
        <v>54</v>
      </c>
      <c r="D2" s="112"/>
      <c r="E2" s="2" t="s">
        <v>22</v>
      </c>
      <c r="F2" s="3" t="s">
        <v>7</v>
      </c>
      <c r="G2" s="113" t="s">
        <v>8</v>
      </c>
      <c r="H2" s="114"/>
    </row>
    <row r="3" spans="1:8" ht="65.25" customHeight="1">
      <c r="A3" s="100" t="s">
        <v>27</v>
      </c>
      <c r="B3" s="101"/>
      <c r="C3" s="102" t="s">
        <v>28</v>
      </c>
      <c r="D3" s="102"/>
      <c r="E3" s="102" t="s">
        <v>29</v>
      </c>
      <c r="F3" s="102"/>
      <c r="G3" s="102"/>
      <c r="H3" s="103"/>
    </row>
    <row r="4" spans="1:8" ht="20.25" customHeight="1">
      <c r="A4" s="91" t="s">
        <v>24</v>
      </c>
      <c r="B4" s="92"/>
      <c r="C4" s="92" t="s">
        <v>23</v>
      </c>
      <c r="D4" s="92"/>
      <c r="E4" s="92" t="s">
        <v>25</v>
      </c>
      <c r="F4" s="92"/>
      <c r="G4" s="92"/>
      <c r="H4" s="93"/>
    </row>
    <row r="5" spans="1:8" ht="36" customHeight="1">
      <c r="A5" s="94" t="s">
        <v>30</v>
      </c>
      <c r="B5" s="95"/>
      <c r="C5" s="96" t="s">
        <v>9</v>
      </c>
      <c r="D5" s="97"/>
      <c r="E5" s="98" t="s">
        <v>10</v>
      </c>
      <c r="F5" s="98"/>
      <c r="G5" s="98"/>
      <c r="H5" s="99"/>
    </row>
    <row r="6" spans="1:8" ht="57" customHeight="1">
      <c r="A6" s="4" t="s">
        <v>11</v>
      </c>
      <c r="B6" s="4" t="s">
        <v>12</v>
      </c>
      <c r="C6" s="4" t="s">
        <v>13</v>
      </c>
      <c r="D6" s="4" t="s">
        <v>5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4" customHeight="1">
      <c r="A7" s="5" t="s">
        <v>1</v>
      </c>
      <c r="B7" s="89" t="s">
        <v>21</v>
      </c>
      <c r="C7" s="89"/>
      <c r="D7" s="89"/>
      <c r="E7" s="89"/>
      <c r="F7" s="89"/>
      <c r="G7" s="89"/>
      <c r="H7" s="89"/>
    </row>
    <row r="8" spans="1:8" ht="24" customHeight="1">
      <c r="A8" s="6">
        <v>1</v>
      </c>
      <c r="B8" s="7"/>
      <c r="C8" s="8"/>
      <c r="D8" s="9"/>
      <c r="E8" s="7"/>
      <c r="F8" s="10"/>
      <c r="G8" s="9"/>
      <c r="H8" s="9"/>
    </row>
    <row r="9" spans="1:8" ht="24" customHeight="1">
      <c r="A9" s="6">
        <v>2</v>
      </c>
      <c r="B9" s="7"/>
      <c r="C9" s="11"/>
      <c r="D9" s="9"/>
      <c r="E9" s="7"/>
      <c r="F9" s="10"/>
      <c r="G9" s="9"/>
      <c r="H9" s="9"/>
    </row>
    <row r="10" spans="1:8" ht="24" customHeight="1">
      <c r="A10" s="6">
        <v>3</v>
      </c>
      <c r="B10" s="7"/>
      <c r="C10" s="11"/>
      <c r="D10" s="9"/>
      <c r="E10" s="7"/>
      <c r="F10" s="10"/>
      <c r="G10" s="9"/>
      <c r="H10" s="9"/>
    </row>
    <row r="11" spans="1:8" ht="24" customHeight="1">
      <c r="A11" s="5" t="s">
        <v>2</v>
      </c>
      <c r="B11" s="89" t="s">
        <v>20</v>
      </c>
      <c r="C11" s="89"/>
      <c r="D11" s="89"/>
      <c r="E11" s="89"/>
      <c r="F11" s="89"/>
      <c r="G11" s="89"/>
      <c r="H11" s="89"/>
    </row>
    <row r="12" spans="1:8" ht="24" customHeight="1">
      <c r="A12" s="6">
        <v>1</v>
      </c>
      <c r="B12" s="12"/>
      <c r="C12" s="8"/>
      <c r="D12" s="13"/>
      <c r="E12" s="7"/>
      <c r="F12" s="6"/>
      <c r="G12" s="14"/>
      <c r="H12" s="9"/>
    </row>
    <row r="13" spans="1:8" ht="24" customHeight="1">
      <c r="A13" s="6">
        <v>2</v>
      </c>
      <c r="B13" s="12"/>
      <c r="C13" s="15"/>
      <c r="D13" s="13"/>
      <c r="E13" s="7"/>
      <c r="F13" s="6"/>
      <c r="G13" s="14"/>
      <c r="H13" s="9"/>
    </row>
    <row r="14" spans="1:8" ht="24" customHeight="1">
      <c r="A14" s="6">
        <v>3</v>
      </c>
      <c r="B14" s="12"/>
      <c r="C14" s="8"/>
      <c r="D14" s="13"/>
      <c r="E14" s="7"/>
      <c r="F14" s="16"/>
      <c r="G14" s="17"/>
      <c r="H14" s="9"/>
    </row>
    <row r="15" spans="1:8" ht="24" customHeight="1">
      <c r="A15" s="5" t="s">
        <v>3</v>
      </c>
      <c r="B15" s="89" t="s">
        <v>19</v>
      </c>
      <c r="C15" s="89"/>
      <c r="D15" s="89"/>
      <c r="E15" s="89"/>
      <c r="F15" s="89"/>
      <c r="G15" s="89"/>
      <c r="H15" s="89"/>
    </row>
    <row r="16" spans="1:8" ht="24" customHeight="1">
      <c r="A16" s="6">
        <v>1</v>
      </c>
      <c r="B16" s="7"/>
      <c r="C16" s="18"/>
      <c r="D16" s="9"/>
      <c r="E16" s="7"/>
      <c r="F16" s="10"/>
      <c r="G16" s="9"/>
      <c r="H16" s="9"/>
    </row>
    <row r="17" spans="1:10" ht="24" customHeight="1">
      <c r="A17" s="6">
        <v>2</v>
      </c>
      <c r="B17" s="7"/>
      <c r="C17" s="18"/>
      <c r="D17" s="9"/>
      <c r="E17" s="7"/>
      <c r="F17" s="10"/>
      <c r="G17" s="9"/>
      <c r="H17" s="9"/>
    </row>
    <row r="18" spans="1:10" s="19" customFormat="1" ht="24" customHeight="1">
      <c r="A18" s="6">
        <v>3</v>
      </c>
      <c r="B18" s="7"/>
      <c r="C18" s="18"/>
      <c r="D18" s="9"/>
      <c r="E18" s="7"/>
      <c r="F18" s="10"/>
      <c r="G18" s="9"/>
      <c r="H18" s="9"/>
    </row>
    <row r="19" spans="1:10" ht="24" customHeight="1">
      <c r="A19" s="5" t="s">
        <v>4</v>
      </c>
      <c r="B19" s="89" t="s">
        <v>31</v>
      </c>
      <c r="C19" s="89"/>
      <c r="D19" s="89"/>
      <c r="E19" s="89"/>
      <c r="F19" s="89"/>
      <c r="G19" s="89"/>
      <c r="H19" s="89"/>
    </row>
    <row r="20" spans="1:10" ht="33" customHeight="1">
      <c r="A20" s="20">
        <v>1</v>
      </c>
      <c r="B20" s="21" t="s">
        <v>32</v>
      </c>
      <c r="C20" s="22" t="s">
        <v>55</v>
      </c>
      <c r="D20" s="23" t="s">
        <v>40</v>
      </c>
      <c r="E20" s="24"/>
      <c r="F20" s="25">
        <v>1</v>
      </c>
      <c r="G20" s="25">
        <v>1</v>
      </c>
      <c r="H20" s="26" t="s">
        <v>0</v>
      </c>
      <c r="I20" s="27"/>
      <c r="J20" s="40"/>
    </row>
    <row r="21" spans="1:10" ht="33" customHeight="1">
      <c r="A21" s="20">
        <v>2</v>
      </c>
      <c r="B21" s="21" t="s">
        <v>33</v>
      </c>
      <c r="C21" s="22"/>
      <c r="D21" s="23" t="s">
        <v>40</v>
      </c>
      <c r="E21" s="24"/>
      <c r="F21" s="25">
        <v>1</v>
      </c>
      <c r="G21" s="25">
        <v>1</v>
      </c>
      <c r="H21" s="26" t="s">
        <v>0</v>
      </c>
      <c r="I21" s="27"/>
      <c r="J21" s="40"/>
    </row>
    <row r="22" spans="1:10" ht="33" customHeight="1">
      <c r="A22" s="20">
        <v>3</v>
      </c>
      <c r="B22" s="21" t="s">
        <v>34</v>
      </c>
      <c r="C22" s="22"/>
      <c r="D22" s="23" t="s">
        <v>40</v>
      </c>
      <c r="E22" s="24"/>
      <c r="F22" s="25">
        <v>1</v>
      </c>
      <c r="G22" s="25">
        <v>1</v>
      </c>
      <c r="H22" s="26" t="s">
        <v>0</v>
      </c>
      <c r="I22" s="27"/>
      <c r="J22" s="40"/>
    </row>
    <row r="23" spans="1:10" ht="37.5">
      <c r="A23" s="20">
        <v>4</v>
      </c>
      <c r="B23" s="21" t="s">
        <v>35</v>
      </c>
      <c r="C23" s="22">
        <v>110242001</v>
      </c>
      <c r="D23" s="23" t="s">
        <v>41</v>
      </c>
      <c r="E23" s="30" t="s">
        <v>47</v>
      </c>
      <c r="F23" s="25">
        <v>1</v>
      </c>
      <c r="G23" s="25">
        <v>1</v>
      </c>
      <c r="H23" s="26" t="s">
        <v>0</v>
      </c>
      <c r="I23" s="27"/>
      <c r="J23" s="40"/>
    </row>
    <row r="24" spans="1:10" ht="33" customHeight="1">
      <c r="A24" s="20">
        <v>5</v>
      </c>
      <c r="B24" s="21" t="s">
        <v>26</v>
      </c>
      <c r="C24" s="31" t="s">
        <v>48</v>
      </c>
      <c r="D24" s="23" t="s">
        <v>42</v>
      </c>
      <c r="E24" s="24"/>
      <c r="F24" s="25">
        <v>1</v>
      </c>
      <c r="G24" s="25">
        <v>1</v>
      </c>
      <c r="H24" s="26" t="s">
        <v>46</v>
      </c>
      <c r="I24" s="27"/>
      <c r="J24" s="40">
        <v>36000000</v>
      </c>
    </row>
    <row r="25" spans="1:10" ht="33" customHeight="1">
      <c r="A25" s="20">
        <v>6</v>
      </c>
      <c r="B25" s="21" t="s">
        <v>36</v>
      </c>
      <c r="C25" s="22" t="s">
        <v>49</v>
      </c>
      <c r="D25" s="23" t="s">
        <v>43</v>
      </c>
      <c r="E25" s="24"/>
      <c r="F25" s="25">
        <v>1</v>
      </c>
      <c r="G25" s="25">
        <v>1</v>
      </c>
      <c r="H25" s="26" t="s">
        <v>0</v>
      </c>
      <c r="I25" s="27"/>
      <c r="J25" s="40">
        <v>32000000</v>
      </c>
    </row>
    <row r="26" spans="1:10" ht="33" customHeight="1">
      <c r="A26" s="20">
        <v>7</v>
      </c>
      <c r="B26" s="21" t="s">
        <v>37</v>
      </c>
      <c r="C26" s="22" t="s">
        <v>50</v>
      </c>
      <c r="D26" s="23" t="s">
        <v>44</v>
      </c>
      <c r="E26" s="24"/>
      <c r="F26" s="25">
        <v>1</v>
      </c>
      <c r="G26" s="25">
        <v>1</v>
      </c>
      <c r="H26" s="26" t="s">
        <v>0</v>
      </c>
      <c r="I26" s="27"/>
      <c r="J26" s="40">
        <v>3000000</v>
      </c>
    </row>
    <row r="27" spans="1:10" ht="33" customHeight="1">
      <c r="A27" s="20">
        <v>8</v>
      </c>
      <c r="B27" s="21" t="s">
        <v>38</v>
      </c>
      <c r="C27" s="22" t="s">
        <v>51</v>
      </c>
      <c r="D27" s="23" t="s">
        <v>45</v>
      </c>
      <c r="E27" s="24"/>
      <c r="F27" s="25">
        <v>1</v>
      </c>
      <c r="G27" s="25">
        <v>1</v>
      </c>
      <c r="H27" s="26" t="s">
        <v>0</v>
      </c>
      <c r="I27" s="27"/>
      <c r="J27" s="40">
        <v>800000</v>
      </c>
    </row>
    <row r="28" spans="1:10" ht="36.75" customHeight="1">
      <c r="A28" s="20">
        <v>9</v>
      </c>
      <c r="B28" s="21" t="s">
        <v>52</v>
      </c>
      <c r="C28" s="28"/>
      <c r="D28" s="23"/>
      <c r="E28" s="24"/>
      <c r="F28" s="25"/>
      <c r="G28" s="25"/>
      <c r="H28" s="26"/>
      <c r="I28" s="29"/>
      <c r="J28" s="40">
        <v>250000</v>
      </c>
    </row>
    <row r="29" spans="1:10" ht="33" customHeight="1">
      <c r="A29" s="20">
        <v>10</v>
      </c>
      <c r="B29" s="21"/>
      <c r="C29" s="22"/>
      <c r="D29" s="23"/>
      <c r="E29" s="24"/>
      <c r="F29" s="25"/>
      <c r="G29" s="25"/>
      <c r="H29" s="26"/>
      <c r="I29" s="27"/>
      <c r="J29" s="40">
        <v>5000000</v>
      </c>
    </row>
    <row r="30" spans="1:10" ht="33" customHeight="1">
      <c r="A30" s="20">
        <v>11</v>
      </c>
      <c r="B30" s="21"/>
      <c r="C30" s="22"/>
      <c r="D30" s="23"/>
      <c r="E30" s="24"/>
      <c r="F30" s="25"/>
      <c r="G30" s="25"/>
      <c r="H30" s="26"/>
      <c r="I30" s="27"/>
    </row>
    <row r="31" spans="1:10" ht="33" customHeight="1">
      <c r="A31" s="20">
        <v>12</v>
      </c>
      <c r="B31" s="21"/>
      <c r="C31" s="22"/>
      <c r="D31" s="23"/>
      <c r="E31" s="24"/>
      <c r="F31" s="25"/>
      <c r="G31" s="25"/>
      <c r="H31" s="26"/>
      <c r="I31" s="27"/>
      <c r="J31" s="41">
        <f>SUM(J20:J29)</f>
        <v>77050000</v>
      </c>
    </row>
    <row r="32" spans="1:10" ht="60" customHeight="1">
      <c r="A32" s="90" t="s">
        <v>18</v>
      </c>
      <c r="B32" s="90"/>
      <c r="C32" s="90"/>
      <c r="D32" s="90"/>
      <c r="E32" s="90"/>
      <c r="F32" s="90"/>
      <c r="G32" s="90"/>
      <c r="H32" s="90"/>
    </row>
  </sheetData>
  <mergeCells count="19">
    <mergeCell ref="B7:H7"/>
    <mergeCell ref="B11:H11"/>
    <mergeCell ref="B15:H15"/>
    <mergeCell ref="B19:H19"/>
    <mergeCell ref="A32:H32"/>
    <mergeCell ref="A4:B4"/>
    <mergeCell ref="C4:D4"/>
    <mergeCell ref="E4:H4"/>
    <mergeCell ref="A5:B5"/>
    <mergeCell ref="C5:D5"/>
    <mergeCell ref="E5:H5"/>
    <mergeCell ref="A3:B3"/>
    <mergeCell ref="C3:D3"/>
    <mergeCell ref="E3:H3"/>
    <mergeCell ref="A1:B2"/>
    <mergeCell ref="C1:E1"/>
    <mergeCell ref="F1:H1"/>
    <mergeCell ref="C2:D2"/>
    <mergeCell ref="G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D145-FA07-4793-BC41-9848B0BD6D47}">
  <dimension ref="A1:J32"/>
  <sheetViews>
    <sheetView topLeftCell="A12" workbookViewId="0">
      <selection activeCell="B30" sqref="B30"/>
    </sheetView>
  </sheetViews>
  <sheetFormatPr defaultColWidth="9.140625" defaultRowHeight="18.75"/>
  <cols>
    <col min="1" max="1" width="4.85546875" style="1" customWidth="1"/>
    <col min="2" max="2" width="31.140625" style="1" customWidth="1"/>
    <col min="3" max="3" width="56.7109375" style="1" customWidth="1"/>
    <col min="4" max="4" width="22.42578125" style="1" bestFit="1" customWidth="1"/>
    <col min="5" max="5" width="41" style="1" bestFit="1" customWidth="1"/>
    <col min="6" max="6" width="11.7109375" style="1" bestFit="1" customWidth="1"/>
    <col min="7" max="7" width="11.140625" style="1" bestFit="1" customWidth="1"/>
    <col min="8" max="8" width="12.7109375" style="1" customWidth="1"/>
    <col min="9" max="9" width="11.5703125" style="1" bestFit="1" customWidth="1"/>
    <col min="10" max="10" width="20.85546875" style="1" bestFit="1" customWidth="1"/>
    <col min="11" max="16384" width="9.140625" style="1"/>
  </cols>
  <sheetData>
    <row r="1" spans="1:8" ht="24.95" customHeight="1">
      <c r="A1" s="104"/>
      <c r="B1" s="105"/>
      <c r="C1" s="108" t="s">
        <v>6</v>
      </c>
      <c r="D1" s="108"/>
      <c r="E1" s="108"/>
      <c r="F1" s="109"/>
      <c r="G1" s="109"/>
      <c r="H1" s="110"/>
    </row>
    <row r="2" spans="1:8" ht="69" customHeight="1">
      <c r="A2" s="106"/>
      <c r="B2" s="107"/>
      <c r="C2" s="111" t="s">
        <v>54</v>
      </c>
      <c r="D2" s="112"/>
      <c r="E2" s="2" t="s">
        <v>22</v>
      </c>
      <c r="F2" s="3" t="s">
        <v>7</v>
      </c>
      <c r="G2" s="113" t="s">
        <v>8</v>
      </c>
      <c r="H2" s="114"/>
    </row>
    <row r="3" spans="1:8" ht="65.25" customHeight="1">
      <c r="A3" s="100" t="s">
        <v>27</v>
      </c>
      <c r="B3" s="101"/>
      <c r="C3" s="102" t="s">
        <v>28</v>
      </c>
      <c r="D3" s="102"/>
      <c r="E3" s="102" t="s">
        <v>29</v>
      </c>
      <c r="F3" s="102"/>
      <c r="G3" s="102"/>
      <c r="H3" s="103"/>
    </row>
    <row r="4" spans="1:8" ht="20.25" customHeight="1">
      <c r="A4" s="91" t="s">
        <v>24</v>
      </c>
      <c r="B4" s="92"/>
      <c r="C4" s="92" t="s">
        <v>23</v>
      </c>
      <c r="D4" s="92"/>
      <c r="E4" s="92" t="s">
        <v>25</v>
      </c>
      <c r="F4" s="92"/>
      <c r="G4" s="92"/>
      <c r="H4" s="93"/>
    </row>
    <row r="5" spans="1:8" ht="36" customHeight="1">
      <c r="A5" s="94" t="s">
        <v>30</v>
      </c>
      <c r="B5" s="95"/>
      <c r="C5" s="96" t="s">
        <v>9</v>
      </c>
      <c r="D5" s="97"/>
      <c r="E5" s="98" t="s">
        <v>10</v>
      </c>
      <c r="F5" s="98"/>
      <c r="G5" s="98"/>
      <c r="H5" s="99"/>
    </row>
    <row r="6" spans="1:8" ht="57" customHeight="1">
      <c r="A6" s="4" t="s">
        <v>11</v>
      </c>
      <c r="B6" s="4" t="s">
        <v>12</v>
      </c>
      <c r="C6" s="4" t="s">
        <v>13</v>
      </c>
      <c r="D6" s="4" t="s">
        <v>5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4" customHeight="1">
      <c r="A7" s="5" t="s">
        <v>1</v>
      </c>
      <c r="B7" s="89" t="s">
        <v>21</v>
      </c>
      <c r="C7" s="89"/>
      <c r="D7" s="89"/>
      <c r="E7" s="89"/>
      <c r="F7" s="89"/>
      <c r="G7" s="89"/>
      <c r="H7" s="89"/>
    </row>
    <row r="8" spans="1:8" ht="24" customHeight="1">
      <c r="A8" s="6">
        <v>1</v>
      </c>
      <c r="B8" s="7"/>
      <c r="C8" s="8"/>
      <c r="D8" s="9"/>
      <c r="E8" s="7"/>
      <c r="F8" s="10"/>
      <c r="G8" s="9"/>
      <c r="H8" s="9"/>
    </row>
    <row r="9" spans="1:8" ht="24" customHeight="1">
      <c r="A9" s="6">
        <v>2</v>
      </c>
      <c r="B9" s="7"/>
      <c r="C9" s="11"/>
      <c r="D9" s="9"/>
      <c r="E9" s="7"/>
      <c r="F9" s="10"/>
      <c r="G9" s="9"/>
      <c r="H9" s="9"/>
    </row>
    <row r="10" spans="1:8" ht="24" customHeight="1">
      <c r="A10" s="6">
        <v>3</v>
      </c>
      <c r="B10" s="7"/>
      <c r="C10" s="11"/>
      <c r="D10" s="9"/>
      <c r="E10" s="7"/>
      <c r="F10" s="10"/>
      <c r="G10" s="9"/>
      <c r="H10" s="9"/>
    </row>
    <row r="11" spans="1:8" ht="24" customHeight="1">
      <c r="A11" s="5" t="s">
        <v>2</v>
      </c>
      <c r="B11" s="89" t="s">
        <v>20</v>
      </c>
      <c r="C11" s="89"/>
      <c r="D11" s="89"/>
      <c r="E11" s="89"/>
      <c r="F11" s="89"/>
      <c r="G11" s="89"/>
      <c r="H11" s="89"/>
    </row>
    <row r="12" spans="1:8" ht="24" customHeight="1">
      <c r="A12" s="6">
        <v>1</v>
      </c>
      <c r="B12" s="12"/>
      <c r="C12" s="8"/>
      <c r="D12" s="13"/>
      <c r="E12" s="7"/>
      <c r="F12" s="6"/>
      <c r="G12" s="14"/>
      <c r="H12" s="9"/>
    </row>
    <row r="13" spans="1:8" ht="24" customHeight="1">
      <c r="A13" s="6">
        <v>2</v>
      </c>
      <c r="B13" s="12"/>
      <c r="C13" s="15"/>
      <c r="D13" s="13"/>
      <c r="E13" s="7"/>
      <c r="F13" s="6"/>
      <c r="G13" s="14"/>
      <c r="H13" s="9"/>
    </row>
    <row r="14" spans="1:8" ht="24" customHeight="1">
      <c r="A14" s="6">
        <v>3</v>
      </c>
      <c r="B14" s="12"/>
      <c r="C14" s="8"/>
      <c r="D14" s="13"/>
      <c r="E14" s="7"/>
      <c r="F14" s="16"/>
      <c r="G14" s="17"/>
      <c r="H14" s="9"/>
    </row>
    <row r="15" spans="1:8" ht="24" customHeight="1">
      <c r="A15" s="5" t="s">
        <v>3</v>
      </c>
      <c r="B15" s="89" t="s">
        <v>19</v>
      </c>
      <c r="C15" s="89"/>
      <c r="D15" s="89"/>
      <c r="E15" s="89"/>
      <c r="F15" s="89"/>
      <c r="G15" s="89"/>
      <c r="H15" s="89"/>
    </row>
    <row r="16" spans="1:8" ht="24" customHeight="1">
      <c r="A16" s="6">
        <v>1</v>
      </c>
      <c r="B16" s="7"/>
      <c r="C16" s="18"/>
      <c r="D16" s="9"/>
      <c r="E16" s="7"/>
      <c r="F16" s="10"/>
      <c r="G16" s="9"/>
      <c r="H16" s="9"/>
    </row>
    <row r="17" spans="1:10" ht="24" customHeight="1">
      <c r="A17" s="6">
        <v>2</v>
      </c>
      <c r="B17" s="7"/>
      <c r="C17" s="18"/>
      <c r="D17" s="9"/>
      <c r="E17" s="7"/>
      <c r="F17" s="10"/>
      <c r="G17" s="9"/>
      <c r="H17" s="9"/>
    </row>
    <row r="18" spans="1:10" s="19" customFormat="1" ht="24" customHeight="1">
      <c r="A18" s="6">
        <v>3</v>
      </c>
      <c r="B18" s="7"/>
      <c r="C18" s="18"/>
      <c r="D18" s="9"/>
      <c r="E18" s="7"/>
      <c r="F18" s="10"/>
      <c r="G18" s="9"/>
      <c r="H18" s="9"/>
    </row>
    <row r="19" spans="1:10" ht="24" customHeight="1">
      <c r="A19" s="5" t="s">
        <v>4</v>
      </c>
      <c r="B19" s="89" t="s">
        <v>31</v>
      </c>
      <c r="C19" s="89"/>
      <c r="D19" s="89"/>
      <c r="E19" s="89"/>
      <c r="F19" s="89"/>
      <c r="G19" s="89"/>
      <c r="H19" s="89"/>
    </row>
    <row r="20" spans="1:10" ht="33" customHeight="1">
      <c r="A20" s="20">
        <v>1</v>
      </c>
      <c r="B20" s="21" t="s">
        <v>32</v>
      </c>
      <c r="C20" s="22" t="s">
        <v>60</v>
      </c>
      <c r="D20" s="23" t="s">
        <v>53</v>
      </c>
      <c r="E20" s="32" t="s">
        <v>61</v>
      </c>
      <c r="F20" s="25">
        <v>1</v>
      </c>
      <c r="G20" s="25">
        <v>1</v>
      </c>
      <c r="H20" s="26" t="s">
        <v>0</v>
      </c>
      <c r="I20" s="27"/>
      <c r="J20" s="120">
        <v>210000000</v>
      </c>
    </row>
    <row r="21" spans="1:10" ht="33" customHeight="1">
      <c r="A21" s="20">
        <v>2</v>
      </c>
      <c r="B21" s="21" t="s">
        <v>57</v>
      </c>
      <c r="C21" s="22" t="s">
        <v>56</v>
      </c>
      <c r="D21" s="23" t="s">
        <v>53</v>
      </c>
      <c r="E21" s="32"/>
      <c r="F21" s="25">
        <v>1</v>
      </c>
      <c r="G21" s="25">
        <v>1</v>
      </c>
      <c r="H21" s="26" t="s">
        <v>0</v>
      </c>
      <c r="I21" s="27"/>
      <c r="J21" s="120"/>
    </row>
    <row r="22" spans="1:10" ht="33" customHeight="1">
      <c r="A22" s="20">
        <v>3</v>
      </c>
      <c r="B22" s="21" t="s">
        <v>58</v>
      </c>
      <c r="C22" s="22" t="s">
        <v>59</v>
      </c>
      <c r="D22" s="23" t="s">
        <v>53</v>
      </c>
      <c r="E22" s="39"/>
      <c r="F22" s="25">
        <v>1</v>
      </c>
      <c r="G22" s="25">
        <v>1</v>
      </c>
      <c r="H22" s="26" t="s">
        <v>0</v>
      </c>
      <c r="I22" s="27"/>
      <c r="J22" s="120"/>
    </row>
    <row r="23" spans="1:10" ht="37.5">
      <c r="A23" s="20">
        <v>4</v>
      </c>
      <c r="B23" s="21" t="s">
        <v>35</v>
      </c>
      <c r="C23" s="22">
        <v>110242001</v>
      </c>
      <c r="D23" s="23" t="s">
        <v>41</v>
      </c>
      <c r="E23" s="30" t="s">
        <v>47</v>
      </c>
      <c r="F23" s="25">
        <v>1</v>
      </c>
      <c r="G23" s="25">
        <v>1</v>
      </c>
      <c r="H23" s="26" t="s">
        <v>0</v>
      </c>
      <c r="I23" s="27"/>
      <c r="J23" s="42">
        <v>36000000</v>
      </c>
    </row>
    <row r="24" spans="1:10" ht="33" customHeight="1">
      <c r="A24" s="20">
        <v>5</v>
      </c>
      <c r="B24" s="21" t="s">
        <v>26</v>
      </c>
      <c r="C24" s="31" t="s">
        <v>48</v>
      </c>
      <c r="D24" s="23" t="s">
        <v>42</v>
      </c>
      <c r="E24" s="32"/>
      <c r="F24" s="25">
        <v>1</v>
      </c>
      <c r="G24" s="25">
        <v>1</v>
      </c>
      <c r="H24" s="26" t="s">
        <v>46</v>
      </c>
      <c r="I24" s="27"/>
      <c r="J24" s="42">
        <v>32000000</v>
      </c>
    </row>
    <row r="25" spans="1:10" ht="33" customHeight="1">
      <c r="A25" s="20">
        <v>6</v>
      </c>
      <c r="B25" s="21" t="s">
        <v>36</v>
      </c>
      <c r="C25" s="22" t="s">
        <v>49</v>
      </c>
      <c r="D25" s="23" t="s">
        <v>43</v>
      </c>
      <c r="E25" s="32"/>
      <c r="F25" s="25">
        <v>1</v>
      </c>
      <c r="G25" s="25">
        <v>1</v>
      </c>
      <c r="H25" s="26" t="s">
        <v>0</v>
      </c>
      <c r="I25" s="27"/>
      <c r="J25" s="42">
        <v>3000000</v>
      </c>
    </row>
    <row r="26" spans="1:10" ht="33" customHeight="1">
      <c r="A26" s="20">
        <v>7</v>
      </c>
      <c r="B26" s="21" t="s">
        <v>37</v>
      </c>
      <c r="C26" s="22" t="s">
        <v>50</v>
      </c>
      <c r="D26" s="23" t="s">
        <v>44</v>
      </c>
      <c r="E26" s="32"/>
      <c r="F26" s="25">
        <v>1</v>
      </c>
      <c r="G26" s="25">
        <v>1</v>
      </c>
      <c r="H26" s="26" t="s">
        <v>0</v>
      </c>
      <c r="I26" s="27"/>
      <c r="J26" s="42">
        <v>800000</v>
      </c>
    </row>
    <row r="27" spans="1:10" ht="33" customHeight="1">
      <c r="A27" s="20">
        <v>8</v>
      </c>
      <c r="B27" s="21" t="s">
        <v>38</v>
      </c>
      <c r="C27" s="22" t="s">
        <v>51</v>
      </c>
      <c r="D27" s="23" t="s">
        <v>45</v>
      </c>
      <c r="E27" s="32"/>
      <c r="F27" s="25">
        <v>1</v>
      </c>
      <c r="G27" s="25">
        <v>1</v>
      </c>
      <c r="H27" s="26" t="s">
        <v>0</v>
      </c>
      <c r="I27" s="27"/>
      <c r="J27" s="42">
        <v>250000</v>
      </c>
    </row>
    <row r="28" spans="1:10" ht="36.75" customHeight="1">
      <c r="A28" s="20">
        <v>9</v>
      </c>
      <c r="B28" s="33" t="s">
        <v>52</v>
      </c>
      <c r="C28" s="34"/>
      <c r="D28" s="35"/>
      <c r="E28" s="36"/>
      <c r="F28" s="37"/>
      <c r="G28" s="37"/>
      <c r="H28" s="38"/>
      <c r="I28" s="29"/>
      <c r="J28" s="42">
        <v>5000000</v>
      </c>
    </row>
    <row r="29" spans="1:10" ht="33" customHeight="1">
      <c r="A29" s="20">
        <v>10</v>
      </c>
      <c r="B29" s="21"/>
      <c r="C29" s="22"/>
      <c r="D29" s="23"/>
      <c r="E29" s="32"/>
      <c r="F29" s="25"/>
      <c r="G29" s="25"/>
      <c r="H29" s="26"/>
      <c r="I29" s="27"/>
      <c r="J29" s="43"/>
    </row>
    <row r="30" spans="1:10" ht="33" customHeight="1">
      <c r="A30" s="20">
        <v>11</v>
      </c>
      <c r="B30" s="21"/>
      <c r="C30" s="22"/>
      <c r="D30" s="23"/>
      <c r="E30" s="32"/>
      <c r="F30" s="25"/>
      <c r="G30" s="25"/>
      <c r="H30" s="26"/>
      <c r="I30" s="27"/>
      <c r="J30" s="44">
        <f>SUM(J20:J28)</f>
        <v>287050000</v>
      </c>
    </row>
    <row r="31" spans="1:10" ht="33" customHeight="1">
      <c r="A31" s="20">
        <v>12</v>
      </c>
      <c r="B31" s="21"/>
      <c r="C31" s="22"/>
      <c r="D31" s="23"/>
      <c r="E31" s="32"/>
      <c r="F31" s="25"/>
      <c r="G31" s="25"/>
      <c r="H31" s="26"/>
      <c r="I31" s="27"/>
    </row>
    <row r="32" spans="1:10" ht="60" customHeight="1">
      <c r="A32" s="90" t="s">
        <v>18</v>
      </c>
      <c r="B32" s="90"/>
      <c r="C32" s="90"/>
      <c r="D32" s="90"/>
      <c r="E32" s="90"/>
      <c r="F32" s="90"/>
      <c r="G32" s="90"/>
      <c r="H32" s="90"/>
    </row>
  </sheetData>
  <mergeCells count="20">
    <mergeCell ref="A32:H32"/>
    <mergeCell ref="A3:B3"/>
    <mergeCell ref="C3:D3"/>
    <mergeCell ref="E3:H3"/>
    <mergeCell ref="J20:J22"/>
    <mergeCell ref="A4:B4"/>
    <mergeCell ref="C4:D4"/>
    <mergeCell ref="E4:H4"/>
    <mergeCell ref="A5:B5"/>
    <mergeCell ref="C5:D5"/>
    <mergeCell ref="E5:H5"/>
    <mergeCell ref="B7:H7"/>
    <mergeCell ref="B11:H11"/>
    <mergeCell ref="B15:H15"/>
    <mergeCell ref="B19:H19"/>
    <mergeCell ref="A1:B2"/>
    <mergeCell ref="C1:E1"/>
    <mergeCell ref="F1:H1"/>
    <mergeCell ref="C2:D2"/>
    <mergeCell ref="G2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Align - Imalligent</vt:lpstr>
      <vt:lpstr>Partlist Vision</vt:lpstr>
      <vt:lpstr>Measure - Imalligent</vt:lpstr>
      <vt:lpstr>Measure - OPT</vt:lpstr>
      <vt:lpstr>'Align - Imalligent'!Print_Area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</dc:creator>
  <cp:lastModifiedBy>S V</cp:lastModifiedBy>
  <cp:lastPrinted>2025-09-04T03:40:36Z</cp:lastPrinted>
  <dcterms:created xsi:type="dcterms:W3CDTF">2007-06-11T19:05:21Z</dcterms:created>
  <dcterms:modified xsi:type="dcterms:W3CDTF">2026-09-04T08:26:09Z</dcterms:modified>
</cp:coreProperties>
</file>